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courses/bchwtz-stat/data/"/>
    </mc:Choice>
  </mc:AlternateContent>
  <xr:revisionPtr revIDLastSave="0" documentId="13_ncr:1_{6846DDD9-CD11-CF40-8D6A-635FD4250B9B}" xr6:coauthVersionLast="47" xr6:coauthVersionMax="47" xr10:uidLastSave="{00000000-0000-0000-0000-000000000000}"/>
  <bookViews>
    <workbookView xWindow="-51200" yWindow="-10300" windowWidth="51200" windowHeight="2702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5" i="1" l="1"/>
  <c r="AK45" i="1"/>
  <c r="AH45" i="1"/>
  <c r="AE45" i="1"/>
  <c r="AB45" i="1"/>
  <c r="Y45" i="1"/>
  <c r="V45" i="1"/>
  <c r="S45" i="1"/>
  <c r="P45" i="1"/>
  <c r="M45" i="1"/>
  <c r="J45" i="1"/>
  <c r="G45" i="1"/>
  <c r="D45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E31" i="61" a="1"/>
  <c r="C18" i="57" a="1"/>
  <c r="C17" i="61" a="1"/>
  <c r="B27" i="56" a="1"/>
  <c r="C36" i="60" a="1"/>
  <c r="B16" i="56" a="1"/>
  <c r="D18" i="53" a="1"/>
  <c r="B23" i="60" a="1"/>
  <c r="C15" i="55" a="1"/>
  <c r="B47" i="59" a="1"/>
  <c r="B27" i="53" a="1"/>
  <c r="C37" i="58" a="1"/>
  <c r="C7" i="61" a="1"/>
  <c r="B31" i="53" a="1"/>
  <c r="E10" i="59" a="1"/>
  <c r="B33" i="56" a="1"/>
  <c r="B36" i="59" a="1"/>
  <c r="C47" i="54" a="1"/>
  <c r="C25" i="61" a="1"/>
  <c r="B31" i="54" a="1"/>
  <c r="B47" i="60" a="1"/>
  <c r="C7" i="59" a="1"/>
  <c r="F7" i="56" a="1"/>
  <c r="C25" i="60" a="1"/>
  <c r="E31" i="52" a="1"/>
  <c r="B7" i="59" a="1"/>
  <c r="C18" i="52" a="1"/>
  <c r="B21" i="57" a="1"/>
  <c r="C42" i="60" a="1"/>
  <c r="B32" i="56" a="1"/>
  <c r="B33" i="60" a="1"/>
  <c r="C11" i="56" a="1"/>
  <c r="C10" i="61" a="1"/>
  <c r="C44" i="59" a="1"/>
  <c r="B14" i="56" a="1"/>
  <c r="B45" i="58" a="1"/>
  <c r="B36" i="53" a="1"/>
  <c r="B26" i="59" a="1"/>
  <c r="B23" i="55" a="1"/>
  <c r="C29" i="61" a="1"/>
  <c r="B7" i="61" a="1"/>
  <c r="E26" i="53" a="1"/>
  <c r="B9" i="58" a="1"/>
  <c r="F11" i="55" a="1"/>
  <c r="B32" i="60" a="1"/>
  <c r="C44" i="56" a="1"/>
  <c r="C28" i="59" a="1"/>
  <c r="B20" i="55" a="1"/>
  <c r="B6" i="59" a="1"/>
  <c r="B50" i="58"/>
  <c r="B16" i="53" a="1"/>
  <c r="B41" i="61"/>
  <c r="B43" i="51" a="1"/>
  <c r="B19" i="59" a="1"/>
  <c r="C8" i="52" a="1"/>
  <c r="C41" i="57" a="1"/>
  <c r="C36" i="58" a="1"/>
  <c r="C37" i="53" a="1"/>
  <c r="C22" i="59" a="1"/>
  <c r="C22" i="54" a="1"/>
  <c r="B32" i="58" a="1"/>
  <c r="B12" i="56" a="1"/>
  <c r="C30" i="60" a="1"/>
  <c r="C33" i="58" a="1"/>
  <c r="C32" i="52" a="1"/>
  <c r="D11" i="60" a="1"/>
  <c r="B27" i="51" a="1"/>
  <c r="C24" i="58" a="1"/>
  <c r="C46" i="52" a="1"/>
  <c r="C28" i="61" a="1"/>
  <c r="B40" i="61" a="1"/>
  <c r="B21" i="60" a="1"/>
  <c r="B18" i="52" a="1"/>
  <c r="B37" i="58" a="1"/>
  <c r="E7" i="53" a="1"/>
  <c r="C10" i="60" a="1"/>
  <c r="E21" i="55" a="1"/>
  <c r="C27" i="58" a="1"/>
  <c r="E27" i="59" a="1"/>
  <c r="C22" i="52" a="1"/>
  <c r="C28" i="58" a="1"/>
  <c r="B15" i="51" a="1"/>
  <c r="C42" i="57" a="1"/>
  <c r="C45" i="52" a="1"/>
  <c r="C22" i="57" a="1"/>
  <c r="B22" i="59" a="1"/>
  <c r="D25" i="59" a="1"/>
  <c r="C23" i="57" a="1"/>
  <c r="C7" i="52" a="1"/>
  <c r="B25" i="57" a="1"/>
  <c r="B17" i="61" a="1"/>
  <c r="B43" i="55" a="1"/>
  <c r="C34" i="54" a="1"/>
  <c r="C11" i="51" a="1"/>
  <c r="B27" i="55" a="1"/>
  <c r="B40" i="52" a="1"/>
  <c r="B17" i="54" a="1"/>
  <c r="E38" i="59" a="1"/>
  <c r="D12" i="55" a="1"/>
  <c r="B18" i="58" a="1"/>
  <c r="E38" i="53" a="1"/>
  <c r="B13" i="57" a="1"/>
  <c r="D38" i="60" a="1"/>
  <c r="B34" i="51" a="1"/>
  <c r="E27" i="57" a="1"/>
  <c r="B33" i="52" a="1"/>
  <c r="B27" i="57" a="1"/>
  <c r="B17" i="51" a="1"/>
  <c r="C34" i="55" a="1"/>
  <c r="F8" i="58" a="1"/>
  <c r="B28" i="54" a="1"/>
  <c r="E7" i="50" a="1"/>
  <c r="C24" i="50" a="1"/>
  <c r="B26" i="53" a="1"/>
  <c r="B21" i="50" a="1"/>
  <c r="E37" i="51" a="1"/>
  <c r="E6" i="57" a="1"/>
  <c r="B19" i="57" a="1"/>
  <c r="E5" i="55" a="1"/>
  <c r="B31" i="50" a="1"/>
  <c r="B39" i="50" a="1"/>
  <c r="C38" i="56" a="1"/>
  <c r="C22" i="50" a="1"/>
  <c r="B33" i="53" a="1"/>
  <c r="B37" i="53" a="1"/>
  <c r="B22" i="55" a="1"/>
  <c r="B9" i="50" a="1"/>
  <c r="C41" i="61" a="1"/>
  <c r="C33" i="55" a="1"/>
  <c r="F12" i="61" a="1"/>
  <c r="B35" i="56" a="1"/>
  <c r="B18" i="60" a="1"/>
  <c r="C33" i="61" a="1"/>
  <c r="B5" i="54" a="1"/>
  <c r="C42" i="61" a="1"/>
  <c r="B2" i="53" a="1"/>
  <c r="B16" i="60" a="1"/>
  <c r="B30" i="52" a="1"/>
  <c r="C6" i="58" a="1"/>
  <c r="C17" i="59" a="1"/>
  <c r="C30" i="53" a="1"/>
  <c r="C23" i="55" a="1"/>
  <c r="E15" i="53" a="1"/>
  <c r="C41" i="58" a="1"/>
  <c r="E36" i="55" a="1"/>
  <c r="B22" i="60" a="1"/>
  <c r="C9" i="54" a="1"/>
  <c r="B7" i="60" a="1"/>
  <c r="D12" i="59" a="1"/>
  <c r="B8" i="52" a="1"/>
  <c r="B21" i="58" a="1"/>
  <c r="B21" i="52" a="1"/>
  <c r="E11" i="59" a="1"/>
  <c r="C44" i="51" a="1"/>
  <c r="D26" i="58" a="1"/>
  <c r="C6" i="59" a="1"/>
  <c r="B42" i="55" a="1"/>
  <c r="C20" i="60" a="1"/>
  <c r="B40" i="55" a="1"/>
  <c r="C32" i="59" a="1"/>
  <c r="B6" i="60" a="1"/>
  <c r="B14" i="53" a="1"/>
  <c r="B18" i="59" a="1"/>
  <c r="C19" i="52" a="1"/>
  <c r="B52" i="61"/>
  <c r="B42" i="51" a="1"/>
  <c r="B32" i="59" a="1"/>
  <c r="C18" i="59" a="1"/>
  <c r="E4" i="55" a="1"/>
  <c r="B6" i="56" a="1"/>
  <c r="E31" i="55" a="1"/>
  <c r="C9" i="60" a="1"/>
  <c r="C33" i="56" a="1"/>
  <c r="B40" i="58" a="1"/>
  <c r="C42" i="53" a="1"/>
  <c r="B17" i="58" a="1"/>
  <c r="D12" i="60" a="1"/>
  <c r="C40" i="52" a="1"/>
  <c r="B38" i="57" a="1"/>
  <c r="F12" i="51" a="1"/>
  <c r="C47" i="59" a="1"/>
  <c r="C25" i="51" a="1"/>
  <c r="D29" i="58" a="1"/>
  <c r="C5" i="58" a="1"/>
  <c r="B31" i="60" a="1"/>
  <c r="C35" i="57" a="1"/>
  <c r="C47" i="55" a="1"/>
  <c r="D39" i="60" a="1"/>
  <c r="C29" i="53" a="1"/>
  <c r="B7" i="58" a="1"/>
  <c r="C45" i="58" a="1"/>
  <c r="C29" i="51" a="1"/>
  <c r="B22" i="57" a="1"/>
  <c r="C11" i="52" a="1"/>
  <c r="C23" i="59" a="1"/>
  <c r="C45" i="51" a="1"/>
  <c r="B50" i="55"/>
  <c r="C10" i="58" a="1"/>
  <c r="E5" i="57" a="1"/>
  <c r="D16" i="52" a="1"/>
  <c r="C23" i="61" a="1"/>
  <c r="F10" i="54" a="1"/>
  <c r="D15" i="59" a="1"/>
  <c r="C5" i="53" a="1"/>
  <c r="B36" i="57" a="1"/>
  <c r="C19" i="58" a="1"/>
  <c r="B36" i="52" a="1"/>
  <c r="B28" i="57" a="1"/>
  <c r="B5" i="52" a="1"/>
  <c r="B14" i="57" a="1"/>
  <c r="D33" i="51" a="1"/>
  <c r="B43" i="56" a="1"/>
  <c r="D36" i="59" a="1"/>
  <c r="C34" i="60" a="1"/>
  <c r="C13" i="56" a="1"/>
  <c r="E14" i="61" a="1"/>
  <c r="C36" i="55" a="1"/>
  <c r="E31" i="60" a="1"/>
  <c r="C13" i="61" a="1"/>
  <c r="B15" i="54" a="1"/>
  <c r="B35" i="61" a="1"/>
  <c r="B12" i="54" a="1"/>
  <c r="C9" i="59" a="1"/>
  <c r="B24" i="55" a="1"/>
  <c r="C43" i="58" a="1"/>
  <c r="C20" i="53" a="1"/>
  <c r="B41" i="59"/>
  <c r="C7" i="53" a="1"/>
  <c r="D37" i="59" a="1"/>
  <c r="E31" i="57" a="1"/>
  <c r="B5" i="51" a="1"/>
  <c r="C28" i="56" a="1"/>
  <c r="C23" i="50" a="1"/>
  <c r="F8" i="55" a="1"/>
  <c r="C29" i="50" a="1"/>
  <c r="E21" i="54" a="1"/>
  <c r="B47" i="55" a="1"/>
  <c r="C28" i="55" a="1"/>
  <c r="B50" i="56"/>
  <c r="B15" i="50" a="1"/>
  <c r="C44" i="61" a="1"/>
  <c r="C39" i="51" a="1"/>
  <c r="C9" i="52" a="1"/>
  <c r="C10" i="53" a="1"/>
  <c r="D16" i="55" a="1"/>
  <c r="C23" i="51" a="1"/>
  <c r="B20" i="58" a="1"/>
  <c r="B40" i="57" a="1"/>
  <c r="B50" i="60"/>
  <c r="C40" i="53" a="1"/>
  <c r="B7" i="56" a="1"/>
  <c r="B38" i="52" a="1"/>
  <c r="B29" i="54" a="1"/>
  <c r="F9" i="57" a="1"/>
  <c r="C47" i="60" a="1"/>
  <c r="C20" i="55" a="1"/>
  <c r="B15" i="59" a="1"/>
  <c r="B21" i="56" a="1"/>
  <c r="B47" i="58" a="1"/>
  <c r="B50" i="59"/>
  <c r="B16" i="52" a="1"/>
  <c r="C41" i="59" a="1"/>
  <c r="C39" i="52" a="1"/>
  <c r="E14" i="58" a="1"/>
  <c r="B13" i="52" a="1"/>
  <c r="D16" i="61" a="1"/>
  <c r="D36" i="60" a="1"/>
  <c r="B30" i="60" a="1"/>
  <c r="D28" i="53" a="1"/>
  <c r="C36" i="51" a="1"/>
  <c r="B15" i="58" a="1"/>
  <c r="E35" i="53" a="1"/>
  <c r="B29" i="58" a="1"/>
  <c r="C46" i="53" a="1"/>
  <c r="D9" i="59" a="1"/>
  <c r="C44" i="57" a="1"/>
  <c r="B28" i="51" a="1"/>
  <c r="C34" i="58" a="1"/>
  <c r="C27" i="51" a="1"/>
  <c r="D13" i="58" a="1"/>
  <c r="C43" i="51" a="1"/>
  <c r="B42" i="57" a="1"/>
  <c r="B35" i="60" a="1"/>
  <c r="C13" i="55" a="1"/>
  <c r="C33" i="59" a="1"/>
  <c r="B39" i="54" a="1"/>
  <c r="E9" i="59" a="1"/>
  <c r="C34" i="57" a="1"/>
  <c r="C35" i="51" a="1"/>
  <c r="C15" i="59" a="1"/>
  <c r="C10" i="52" a="1"/>
  <c r="B35" i="57" a="1"/>
  <c r="C10" i="51" a="1"/>
  <c r="E39" i="59" a="1"/>
  <c r="C6" i="57" a="1"/>
  <c r="B9" i="59" a="1"/>
  <c r="B21" i="53" a="1"/>
  <c r="B20" i="51" a="1"/>
  <c r="C7" i="58" a="1"/>
  <c r="B42" i="53" a="1"/>
  <c r="E14" i="57" a="1"/>
  <c r="B32" i="54" a="1"/>
  <c r="E31" i="59" a="1"/>
  <c r="C43" i="60" a="1"/>
  <c r="B18" i="51" a="1"/>
  <c r="D7" i="58" a="1"/>
  <c r="D10" i="51" a="1"/>
  <c r="C15" i="57" a="1"/>
  <c r="D8" i="52" a="1"/>
  <c r="B29" i="56" a="1"/>
  <c r="C23" i="60" a="1"/>
  <c r="D36" i="57" a="1"/>
  <c r="E6" i="61" a="1"/>
  <c r="B13" i="54" a="1"/>
  <c r="B43" i="58" a="1"/>
  <c r="E27" i="53" a="1"/>
  <c r="D8" i="58" a="1"/>
  <c r="D39" i="57" a="1"/>
  <c r="B26" i="50" a="1"/>
  <c r="B15" i="56" a="1"/>
  <c r="B19" i="50" a="1"/>
  <c r="C37" i="55" a="1"/>
  <c r="B8" i="50" a="1"/>
  <c r="C32" i="56" a="1"/>
  <c r="D38" i="57" a="1"/>
  <c r="B33" i="55" a="1"/>
  <c r="C25" i="50" a="1"/>
  <c r="E21" i="59" a="1"/>
  <c r="B40" i="53" a="1"/>
  <c r="B12" i="58" a="1"/>
  <c r="C18" i="53" a="1"/>
  <c r="B14" i="60" a="1"/>
  <c r="C20" i="56" a="1"/>
  <c r="C17" i="50" a="1"/>
  <c r="C38" i="55" a="1"/>
  <c r="C10" i="50" a="1"/>
  <c r="B38" i="56" a="1"/>
  <c r="B40" i="50" a="1"/>
  <c r="B19" i="55" a="1"/>
  <c r="C16" i="57" a="1"/>
  <c r="C13" i="60" a="1"/>
  <c r="C15" i="54" a="1"/>
  <c r="C45" i="61" a="1"/>
  <c r="C26" i="55" a="1"/>
  <c r="B19" i="60" a="1"/>
  <c r="C38" i="59" a="1"/>
  <c r="E12" i="53" a="1"/>
  <c r="C40" i="58" a="1"/>
  <c r="B7" i="55" a="1"/>
  <c r="C40" i="59" a="1"/>
  <c r="C23" i="54" a="1"/>
  <c r="C46" i="57" a="1"/>
  <c r="B34" i="53" a="1"/>
  <c r="D27" i="59" a="1"/>
  <c r="B18" i="53" a="1"/>
  <c r="C26" i="58" a="1"/>
  <c r="B18" i="56" a="1"/>
  <c r="B20" i="50" a="1"/>
  <c r="B6" i="55" a="1"/>
  <c r="C33" i="54" a="1"/>
  <c r="E18" i="56" a="1"/>
  <c r="B6" i="51" a="1"/>
  <c r="E4" i="53" a="1"/>
  <c r="C9" i="56" a="1"/>
  <c r="C35" i="52" a="1"/>
  <c r="C15" i="61" a="1"/>
  <c r="D17" i="51" a="1"/>
  <c r="B33" i="54" a="1"/>
  <c r="B24" i="60" a="1"/>
  <c r="B29" i="59" a="1"/>
  <c r="B25" i="52" a="1"/>
  <c r="D26" i="53" a="1"/>
  <c r="E22" i="51" a="1"/>
  <c r="E40" i="53" a="1"/>
  <c r="B50" i="40"/>
  <c r="E14" i="52" a="1"/>
  <c r="C35" i="56" a="1"/>
  <c r="B22" i="53" a="1"/>
  <c r="C9" i="55" a="1"/>
  <c r="C11" i="53" a="1"/>
  <c r="B28" i="59" a="1"/>
  <c r="B7" i="53" a="1"/>
  <c r="D18" i="61" a="1"/>
  <c r="E22" i="55" a="1"/>
  <c r="C30" i="58" a="1"/>
  <c r="B16" i="58" a="1"/>
  <c r="C42" i="51" a="1"/>
  <c r="E32" i="60" a="1"/>
  <c r="B16" i="51" a="1"/>
  <c r="C32" i="58" a="1"/>
  <c r="B25" i="51" a="1"/>
  <c r="C12" i="57" a="1"/>
  <c r="B32" i="57" a="1"/>
  <c r="C45" i="57" a="1"/>
  <c r="C29" i="52" a="1"/>
  <c r="D8" i="51" a="1"/>
  <c r="C25" i="59" a="1"/>
  <c r="C29" i="54" a="1"/>
  <c r="B37" i="57" a="1"/>
  <c r="B17" i="55" a="1"/>
  <c r="C11" i="58" a="1"/>
  <c r="D18" i="57" a="1"/>
  <c r="E7" i="52" a="1"/>
  <c r="E31" i="56" a="1"/>
  <c r="B25" i="50" a="1"/>
  <c r="C16" i="56" a="1"/>
  <c r="C15" i="50" a="1"/>
  <c r="C25" i="56" a="1"/>
  <c r="E32" i="59" a="1"/>
  <c r="B37" i="54" a="1"/>
  <c r="C38" i="57" a="1"/>
  <c r="E19" i="56" a="1"/>
  <c r="C12" i="58" a="1"/>
  <c r="D13" i="59" a="1"/>
  <c r="C16" i="51" a="1"/>
  <c r="C16" i="58" a="1"/>
  <c r="C28" i="52" a="1"/>
  <c r="E39" i="58" a="1"/>
  <c r="E6" i="51" a="1"/>
  <c r="C20" i="57" a="1"/>
  <c r="C22" i="58" a="1"/>
  <c r="C19" i="57" a="1"/>
  <c r="C46" i="51" a="1"/>
  <c r="B50" i="50"/>
  <c r="B34" i="57" a="1"/>
  <c r="C36" i="54" a="1"/>
  <c r="E40" i="59" a="1"/>
  <c r="B20" i="53" a="1"/>
  <c r="C24" i="59" a="1"/>
  <c r="E35" i="57" a="1"/>
  <c r="B14" i="51" a="1"/>
  <c r="B45" i="56" a="1"/>
  <c r="B44" i="50" a="1"/>
  <c r="B8" i="55" a="1"/>
  <c r="B18" i="50" a="1"/>
  <c r="C20" i="54" a="1"/>
  <c r="E4" i="57" a="1"/>
  <c r="D9" i="56" a="1"/>
  <c r="F7" i="59" a="1"/>
  <c r="D16" i="53" a="1"/>
  <c r="C18" i="58" a="1"/>
  <c r="D17" i="53" a="1"/>
  <c r="E16" i="60" a="1"/>
  <c r="B25" i="54" a="1"/>
  <c r="E14" i="50" a="1"/>
  <c r="B45" i="54" a="1"/>
  <c r="C44" i="50" a="1"/>
  <c r="B46" i="54" a="1"/>
  <c r="E21" i="52" a="1"/>
  <c r="B28" i="55" a="1"/>
  <c r="C47" i="56" a="1"/>
  <c r="B50" i="51"/>
  <c r="B35" i="50" a="1"/>
  <c r="B24" i="58" a="1"/>
  <c r="D5" i="53" a="1"/>
  <c r="B20" i="57" a="1"/>
  <c r="C11" i="55" a="1"/>
  <c r="B5" i="57" a="1"/>
  <c r="B47" i="53" a="1"/>
  <c r="B33" i="50" a="1"/>
  <c r="B5" i="55" a="1"/>
  <c r="E6" i="50" a="1"/>
  <c r="B32" i="55" a="1"/>
  <c r="C37" i="52" a="1"/>
  <c r="B7" i="54" a="1"/>
  <c r="B30" i="54" a="1"/>
  <c r="C39" i="58" a="1"/>
  <c r="C43" i="56" a="1"/>
  <c r="B38" i="59" a="1"/>
  <c r="E14" i="54" a="1"/>
  <c r="C30" i="59" a="1"/>
  <c r="B33" i="58" a="1"/>
  <c r="B44" i="51" a="1"/>
  <c r="B44" i="58" a="1"/>
  <c r="C6" i="52" a="1"/>
  <c r="C32" i="57" a="1"/>
  <c r="C33" i="51" a="1"/>
  <c r="C13" i="57" a="1"/>
  <c r="E31" i="53" a="1"/>
  <c r="E29" i="59" a="1"/>
  <c r="B24" i="52" a="1"/>
  <c r="C8" i="57" a="1"/>
  <c r="D7" i="55" a="1"/>
  <c r="C36" i="50" a="1"/>
  <c r="C25" i="54" a="1"/>
  <c r="B31" i="51" a="1"/>
  <c r="E4" i="56" a="1"/>
  <c r="C12" i="61" a="1"/>
  <c r="E16" i="53" a="1"/>
  <c r="C25" i="55" a="1"/>
  <c r="B28" i="60" a="1"/>
  <c r="C39" i="57" a="1"/>
  <c r="B7" i="57" a="1"/>
  <c r="D25" i="53" a="1"/>
  <c r="B27" i="58" a="1"/>
  <c r="B25" i="53" a="1"/>
  <c r="B30" i="58" a="1"/>
  <c r="C39" i="55" a="1"/>
  <c r="C45" i="50" a="1"/>
  <c r="C42" i="55" a="1"/>
  <c r="C37" i="50" a="1"/>
  <c r="B22" i="54" a="1"/>
  <c r="B9" i="55" a="1"/>
  <c r="C27" i="55" a="1"/>
  <c r="C8" i="56" a="1"/>
  <c r="C27" i="53" a="1"/>
  <c r="D11" i="53" a="1"/>
  <c r="B12" i="50" a="1"/>
  <c r="B26" i="57" a="1"/>
  <c r="C20" i="52" a="1"/>
  <c r="C11" i="57" a="1"/>
  <c r="B9" i="51" a="1"/>
  <c r="F11" i="57" a="1"/>
  <c r="C43" i="55" a="1"/>
  <c r="B35" i="53" a="1"/>
  <c r="C8" i="54" a="1"/>
  <c r="C7" i="51" a="1"/>
  <c r="B31" i="55" a="1"/>
  <c r="B38" i="51" a="1"/>
  <c r="F7" i="54" a="1"/>
  <c r="E6" i="58" a="1"/>
  <c r="D5" i="55" a="1"/>
  <c r="B20" i="59" a="1"/>
  <c r="B37" i="55" a="1"/>
  <c r="C24" i="57" a="1"/>
  <c r="C29" i="56" a="1"/>
  <c r="C26" i="50" a="1"/>
  <c r="B46" i="53" a="1"/>
  <c r="C30" i="50" a="1"/>
  <c r="C22" i="55" a="1"/>
  <c r="C28" i="53" a="1"/>
  <c r="E6" i="55" a="1"/>
  <c r="C32" i="55" a="1"/>
  <c r="B8" i="53" a="1"/>
  <c r="C44" i="52" a="1"/>
  <c r="D38" i="55" a="1"/>
  <c r="E12" i="58" a="1"/>
  <c r="B47" i="52" a="1"/>
  <c r="F10" i="57" a="1"/>
  <c r="B25" i="61" a="1"/>
  <c r="C8" i="58" a="1"/>
  <c r="C10" i="56" a="1"/>
  <c r="C40" i="51" a="1"/>
  <c r="C27" i="54" a="1"/>
  <c r="B39" i="51" a="1"/>
  <c r="C30" i="54" a="1"/>
  <c r="C19" i="61" a="1"/>
  <c r="B44" i="53" a="1"/>
  <c r="B26" i="55" a="1"/>
  <c r="B15" i="61" a="1"/>
  <c r="B47" i="56" a="1"/>
  <c r="C37" i="60" a="1"/>
  <c r="B17" i="56" a="1"/>
  <c r="C46" i="60" a="1"/>
  <c r="B24" i="61" a="1"/>
  <c r="C28" i="54" a="1"/>
  <c r="C35" i="60" a="1"/>
  <c r="B12" i="53" a="1"/>
  <c r="B21" i="61" a="1"/>
  <c r="D32" i="53" a="1"/>
  <c r="E4" i="61" a="1"/>
  <c r="B7" i="52" a="1"/>
  <c r="C45" i="53" a="1"/>
  <c r="C40" i="57" a="1"/>
  <c r="C6" i="61" a="1"/>
  <c r="B31" i="56" a="1"/>
  <c r="C38" i="61" a="1"/>
  <c r="B8" i="56" a="1"/>
  <c r="C10" i="59" a="1"/>
  <c r="B45" i="61" a="1"/>
  <c r="D24" i="56" a="1"/>
  <c r="C32" i="61" a="1"/>
  <c r="B38" i="53" a="1"/>
  <c r="C30" i="61" a="1"/>
  <c r="B6" i="54" a="1"/>
  <c r="B21" i="59" a="1"/>
  <c r="B30" i="61" a="1"/>
  <c r="F9" i="55" a="1"/>
  <c r="D38" i="59" a="1"/>
  <c r="C17" i="53" a="1"/>
  <c r="B13" i="58" a="1"/>
  <c r="E11" i="53" a="1"/>
  <c r="C27" i="57" a="1"/>
  <c r="F10" i="58" a="1"/>
  <c r="C26" i="51" a="1"/>
  <c r="D16" i="57" a="1"/>
  <c r="D35" i="51" a="1"/>
  <c r="B46" i="57" a="1"/>
  <c r="C35" i="61" a="1"/>
  <c r="C5" i="56" a="1"/>
  <c r="B40" i="60" a="1"/>
  <c r="C12" i="55" a="1"/>
  <c r="C27" i="61" a="1"/>
  <c r="C38" i="60" a="1"/>
  <c r="C13" i="53" a="1"/>
  <c r="C43" i="59" a="1"/>
  <c r="B18" i="55" a="1"/>
  <c r="B36" i="61" a="1"/>
  <c r="D34" i="55" a="1"/>
  <c r="C7" i="57" a="1"/>
  <c r="B45" i="60" a="1"/>
  <c r="D35" i="53" a="1"/>
  <c r="B15" i="55" a="1"/>
  <c r="B9" i="53" a="1"/>
  <c r="C46" i="59" a="1"/>
  <c r="B34" i="61" a="1"/>
  <c r="E9" i="53" a="1"/>
  <c r="E21" i="51" a="1"/>
  <c r="E28" i="59" a="1"/>
  <c r="B42" i="58" a="1"/>
  <c r="E17" i="53" a="1"/>
  <c r="B46" i="55" a="1"/>
  <c r="C42" i="52" a="1"/>
  <c r="E37" i="53" a="1"/>
  <c r="B25" i="60" a="1"/>
  <c r="C32" i="50" a="1"/>
  <c r="B36" i="51" a="1"/>
  <c r="C39" i="56" a="1"/>
  <c r="B47" i="50" a="1"/>
  <c r="C45" i="60" a="1"/>
  <c r="E7" i="55" a="1"/>
  <c r="C9" i="58" a="1"/>
  <c r="E14" i="53" a="1"/>
  <c r="C17" i="58" a="1"/>
  <c r="C8" i="55" a="1"/>
  <c r="C32" i="53" a="1"/>
  <c r="E6" i="56" a="1"/>
  <c r="B28" i="52" a="1"/>
  <c r="C41" i="53" a="1"/>
  <c r="E24" i="51" a="1"/>
  <c r="C18" i="55" a="1"/>
  <c r="D17" i="55" a="1"/>
  <c r="B24" i="51" a="1"/>
  <c r="C39" i="60" a="1"/>
  <c r="B23" i="61" a="1"/>
  <c r="E36" i="57" a="1"/>
  <c r="B43" i="61" a="1"/>
  <c r="C18" i="56" a="1"/>
  <c r="C37" i="61" a="1"/>
  <c r="C7" i="56" a="1"/>
  <c r="E29" i="55" a="1"/>
  <c r="B22" i="61" a="1"/>
  <c r="C12" i="54" a="1"/>
  <c r="B9" i="61" a="1"/>
  <c r="D11" i="56" a="1"/>
  <c r="C43" i="61" a="1"/>
  <c r="D39" i="53" a="1"/>
  <c r="F9" i="58" a="1"/>
  <c r="B46" i="51" a="1"/>
  <c r="B15" i="57" a="1"/>
  <c r="B42" i="52" a="1"/>
  <c r="B23" i="57" a="1"/>
  <c r="B16" i="55" a="1"/>
  <c r="C17" i="52" a="1"/>
  <c r="B34" i="55" a="1"/>
  <c r="C32" i="51" a="1"/>
  <c r="B16" i="54" a="1"/>
  <c r="B23" i="50" a="1"/>
  <c r="C44" i="55" a="1"/>
  <c r="B20" i="54" a="1"/>
  <c r="C23" i="52" a="1"/>
  <c r="B31" i="59" a="1"/>
  <c r="C8" i="61" a="1"/>
  <c r="C15" i="56" a="1"/>
  <c r="C5" i="60" a="1"/>
  <c r="B42" i="56" a="1"/>
  <c r="B39" i="60" a="1"/>
  <c r="C40" i="56" a="1"/>
  <c r="E36" i="53" a="1"/>
  <c r="B8" i="60" a="1"/>
  <c r="C47" i="53" a="1"/>
  <c r="C33" i="60" a="1"/>
  <c r="E10" i="53" a="1"/>
  <c r="C37" i="59" a="1"/>
  <c r="C8" i="51" a="1"/>
  <c r="D15" i="55" a="1"/>
  <c r="B27" i="60" a="1"/>
  <c r="C46" i="54" a="1"/>
  <c r="C19" i="60" a="1"/>
  <c r="C18" i="54" a="1"/>
  <c r="C12" i="59" a="1"/>
  <c r="C26" i="60" a="1"/>
  <c r="C6" i="53" a="1"/>
  <c r="B32" i="61" a="1"/>
  <c r="E8" i="54" a="1"/>
  <c r="C39" i="59" a="1"/>
  <c r="E24" i="53" a="1"/>
  <c r="B41" i="58"/>
  <c r="C9" i="61" a="1"/>
  <c r="B40" i="54" a="1"/>
  <c r="B20" i="56" a="1"/>
  <c r="B36" i="60" a="1"/>
  <c r="B24" i="54" a="1"/>
  <c r="C26" i="59" a="1"/>
  <c r="C45" i="56" a="1"/>
  <c r="D19" i="61" a="1"/>
  <c r="C46" i="58" a="1"/>
  <c r="B13" i="53" a="1"/>
  <c r="B43" i="59" a="1"/>
  <c r="C35" i="53" a="1"/>
  <c r="C38" i="58" a="1"/>
  <c r="C38" i="54" a="1"/>
  <c r="B43" i="60" a="1"/>
  <c r="D15" i="61" a="1"/>
  <c r="E32" i="53" a="1"/>
  <c r="C25" i="58" a="1"/>
  <c r="C36" i="53" a="1"/>
  <c r="C10" i="57" a="1"/>
  <c r="C46" i="55" a="1"/>
  <c r="E16" i="59" a="1"/>
  <c r="B46" i="56" a="1"/>
  <c r="B45" i="50" a="1"/>
  <c r="B39" i="56" a="1"/>
  <c r="B41" i="50"/>
  <c r="C27" i="56" a="1"/>
  <c r="C13" i="59" a="1"/>
  <c r="C45" i="55" a="1"/>
  <c r="B5" i="60" a="1"/>
  <c r="F12" i="55" a="1"/>
  <c r="B27" i="59" a="1"/>
  <c r="B37" i="61" a="1"/>
  <c r="D35" i="55" a="1"/>
  <c r="B44" i="59" a="1"/>
  <c r="C34" i="51" a="1"/>
  <c r="C35" i="59" a="1"/>
  <c r="C38" i="52" a="1"/>
  <c r="C23" i="58" a="1"/>
  <c r="B38" i="58" a="1"/>
  <c r="B41" i="60"/>
  <c r="C15" i="53" a="1"/>
  <c r="B17" i="52" a="1"/>
  <c r="C19" i="54" a="1"/>
  <c r="C41" i="55" a="1"/>
  <c r="B37" i="51" a="1"/>
  <c r="C24" i="51" a="1"/>
  <c r="C18" i="50" a="1"/>
  <c r="C28" i="50" a="1"/>
  <c r="F10" i="51" a="1"/>
  <c r="E39" i="53" a="1"/>
  <c r="F11" i="50" a="1"/>
  <c r="B44" i="52" a="1"/>
  <c r="C12" i="52" a="1"/>
  <c r="B29" i="51" a="1"/>
  <c r="B15" i="53" a="1"/>
  <c r="B12" i="60" a="1"/>
  <c r="D6" i="58" a="1"/>
  <c r="B45" i="57" a="1"/>
  <c r="B29" i="52" a="1"/>
  <c r="E21" i="60" a="1"/>
  <c r="C15" i="52" a="1"/>
  <c r="B30" i="57" a="1"/>
  <c r="C9" i="53" a="1"/>
  <c r="E4" i="52" a="1"/>
  <c r="D8" i="56" a="1"/>
  <c r="C20" i="61" a="1"/>
  <c r="C11" i="54" a="1"/>
  <c r="C26" i="61" a="1"/>
  <c r="C22" i="53" a="1"/>
  <c r="C42" i="56" a="1"/>
  <c r="C47" i="58" a="1"/>
  <c r="D19" i="60" a="1"/>
  <c r="B39" i="61" a="1"/>
  <c r="B40" i="56" a="1"/>
  <c r="C42" i="59" a="1"/>
  <c r="C26" i="56" a="1"/>
  <c r="B25" i="59" a="1"/>
  <c r="B38" i="60" a="1"/>
  <c r="B12" i="55" a="1"/>
  <c r="C15" i="60" a="1"/>
  <c r="C34" i="53" a="1"/>
  <c r="B31" i="58" a="1"/>
  <c r="E23" i="53" a="1"/>
  <c r="C29" i="59" a="1"/>
  <c r="B50" i="61"/>
  <c r="B24" i="56" a="1"/>
  <c r="B18" i="61" a="1"/>
  <c r="B44" i="55" a="1"/>
  <c r="B13" i="61" a="1"/>
  <c r="C35" i="55" a="1"/>
  <c r="B34" i="54" a="1"/>
  <c r="B44" i="61" a="1"/>
  <c r="E15" i="56" a="1"/>
  <c r="C7" i="60" a="1"/>
  <c r="E34" i="53" a="1"/>
  <c r="C46" i="61" a="1"/>
  <c r="D18" i="56" a="1"/>
  <c r="D16" i="56" a="1"/>
  <c r="B29" i="60" a="1"/>
  <c r="B40" i="59" a="1"/>
  <c r="C47" i="61" a="1"/>
  <c r="C46" i="56" a="1"/>
  <c r="B33" i="61" a="1"/>
  <c r="B27" i="54" a="1"/>
  <c r="B42" i="59" a="1"/>
  <c r="C24" i="60" a="1"/>
  <c r="B17" i="53" a="1"/>
  <c r="C27" i="59" a="1"/>
  <c r="C29" i="55" a="1"/>
  <c r="B14" i="61" a="1"/>
  <c r="E33" i="53" a="1"/>
  <c r="C8" i="60" a="1"/>
  <c r="C22" i="61" a="1"/>
  <c r="E29" i="53" a="1"/>
  <c r="B15" i="60" a="1"/>
  <c r="B30" i="55" a="1"/>
  <c r="B5" i="59" a="1"/>
  <c r="C6" i="54" a="1"/>
  <c r="B12" i="61" a="1"/>
  <c r="C27" i="60" a="1"/>
  <c r="B39" i="53" a="1"/>
  <c r="B23" i="59" a="1"/>
  <c r="B9" i="52" a="1"/>
  <c r="B8" i="57" a="1"/>
  <c r="B8" i="51" a="1"/>
  <c r="D6" i="59" a="1"/>
  <c r="C19" i="59" a="1"/>
  <c r="B23" i="53" a="1"/>
  <c r="C35" i="54" a="1"/>
  <c r="B16" i="59" a="1"/>
  <c r="B14" i="55" a="1"/>
  <c r="D8" i="61" a="1"/>
  <c r="E8" i="55" a="1"/>
  <c r="C17" i="60" a="1"/>
  <c r="C20" i="59" a="1"/>
  <c r="B22" i="52" a="1"/>
  <c r="C13" i="58" a="1"/>
  <c r="B15" i="52" a="1"/>
  <c r="B8" i="58" a="1"/>
  <c r="C5" i="52" a="1"/>
  <c r="B33" i="57" a="1"/>
  <c r="C24" i="61" a="1"/>
  <c r="B28" i="61" a="1"/>
  <c r="C15" i="58" a="1"/>
  <c r="D33" i="53" a="1"/>
  <c r="C26" i="57" a="1"/>
  <c r="C12" i="53" a="1"/>
  <c r="B6" i="57" a="1"/>
  <c r="B29" i="55" a="1"/>
  <c r="B14" i="50" a="1"/>
  <c r="B36" i="55" a="1"/>
  <c r="C38" i="53" a="1"/>
  <c r="B47" i="54" a="1"/>
  <c r="C41" i="60" a="1"/>
  <c r="C43" i="54" a="1"/>
  <c r="B8" i="59" a="1"/>
  <c r="B13" i="56" a="1"/>
  <c r="B39" i="58" a="1"/>
  <c r="B33" i="59" a="1"/>
  <c r="B43" i="52" a="1"/>
  <c r="C33" i="57" a="1"/>
  <c r="F11" i="51" a="1"/>
  <c r="C11" i="60" a="1"/>
  <c r="C13" i="51" a="1"/>
  <c r="B31" i="57" a="1"/>
  <c r="F9" i="59" a="1"/>
  <c r="C30" i="57" a="1"/>
  <c r="E44" i="59" a="1"/>
  <c r="B24" i="57" a="1"/>
  <c r="B18" i="57" a="1"/>
  <c r="B5" i="58" a="1"/>
  <c r="C16" i="50" a="1"/>
  <c r="D43" i="59" a="1"/>
  <c r="C43" i="50" a="1"/>
  <c r="E38" i="57" a="1"/>
  <c r="B31" i="61" a="1"/>
  <c r="B42" i="61" a="1"/>
  <c r="C33" i="53" a="1"/>
  <c r="C15" i="51" a="1"/>
  <c r="B8" i="61" a="1"/>
  <c r="E21" i="61" a="1"/>
  <c r="C5" i="61" a="1"/>
  <c r="C43" i="53" a="1"/>
  <c r="E14" i="60" a="1"/>
  <c r="C30" i="55" a="1"/>
  <c r="C40" i="61" a="1"/>
  <c r="C44" i="60" a="1"/>
  <c r="C11" i="50" a="1"/>
  <c r="D15" i="51" a="1"/>
  <c r="B35" i="58" a="1"/>
  <c r="C36" i="61" a="1"/>
  <c r="C17" i="54" a="1"/>
  <c r="C22" i="60" a="1"/>
  <c r="B41" i="53"/>
  <c r="E22" i="53" a="1"/>
  <c r="B39" i="59" a="1"/>
  <c r="E7" i="61" a="1"/>
  <c r="B6" i="58" a="1"/>
  <c r="C12" i="56" a="1"/>
  <c r="C47" i="51" a="1"/>
  <c r="B29" i="53" a="1"/>
  <c r="C33" i="50" a="1"/>
  <c r="C40" i="54" a="1"/>
  <c r="C27" i="52" a="1"/>
  <c r="B17" i="50" a="1"/>
  <c r="B28" i="56" a="1"/>
  <c r="C34" i="56" a="1"/>
  <c r="C19" i="55" a="1"/>
  <c r="B34" i="52" a="1"/>
  <c r="C9" i="51" a="1"/>
  <c r="C44" i="54" a="1"/>
  <c r="C30" i="52" a="1"/>
  <c r="B42" i="60" a="1"/>
  <c r="B27" i="50" a="1"/>
  <c r="D22" i="56" a="1"/>
  <c r="C47" i="57" a="1"/>
  <c r="C28" i="57" a="1"/>
  <c r="D39" i="55" a="1"/>
  <c r="C10" i="55" a="1"/>
  <c r="B41" i="40"/>
  <c r="B44" i="57" a="1"/>
  <c r="C16" i="55" a="1"/>
  <c r="B41" i="56"/>
  <c r="D12" i="53" a="1"/>
  <c r="B44" i="56" a="1"/>
  <c r="D8" i="54" a="1"/>
  <c r="B44" i="54" a="1"/>
  <c r="C16" i="61" a="1"/>
  <c r="C36" i="56" a="1"/>
  <c r="C17" i="56" a="1"/>
  <c r="C45" i="54" a="1"/>
  <c r="C43" i="57" a="1"/>
  <c r="B9" i="56" a="1"/>
  <c r="E32" i="55" a="1"/>
  <c r="C41" i="51" a="1"/>
  <c r="B36" i="58" a="1"/>
  <c r="E17" i="56" a="1"/>
  <c r="D12" i="51" a="1"/>
  <c r="B21" i="51" a="1"/>
  <c r="C33" i="52" a="1"/>
  <c r="B43" i="54" a="1"/>
  <c r="B23" i="58" a="1"/>
  <c r="B23" i="52" a="1"/>
  <c r="C34" i="61" a="1"/>
  <c r="E18" i="53" a="1"/>
  <c r="B42" i="54" a="1"/>
  <c r="C47" i="52" a="1"/>
  <c r="C17" i="51" a="1"/>
  <c r="B47" i="57" a="1"/>
  <c r="C6" i="56" a="1"/>
  <c r="B34" i="50" a="1"/>
  <c r="B42" i="50" a="1"/>
  <c r="C6" i="55" a="1"/>
  <c r="C34" i="59" a="1"/>
  <c r="D5" i="58" a="1"/>
  <c r="B50" i="52"/>
  <c r="C20" i="50" a="1"/>
  <c r="C12" i="60" a="1"/>
  <c r="C37" i="51" a="1"/>
  <c r="B32" i="50" a="1"/>
  <c r="F11" i="61" a="1"/>
  <c r="C17" i="57" a="1"/>
  <c r="B47" i="61" a="1"/>
  <c r="E5" i="61" a="1"/>
  <c r="B41" i="57"/>
  <c r="B30" i="53" a="1"/>
  <c r="C5" i="54" a="1"/>
  <c r="B19" i="53" a="1"/>
  <c r="B6" i="50" a="1"/>
  <c r="C11" i="61" a="1"/>
  <c r="D15" i="60" a="1"/>
  <c r="C16" i="59" a="1"/>
  <c r="C25" i="53" a="1"/>
  <c r="C41" i="54" a="1"/>
  <c r="D10" i="52" a="1"/>
  <c r="B32" i="53" a="1"/>
  <c r="C43" i="52" a="1"/>
  <c r="B41" i="52"/>
  <c r="E21" i="50" a="1"/>
  <c r="D33" i="57" a="1"/>
  <c r="E5" i="50" a="1"/>
  <c r="B23" i="54" a="1"/>
  <c r="B38" i="55" a="1"/>
  <c r="E31" i="54" a="1"/>
  <c r="C23" i="53" a="1"/>
  <c r="B6" i="53" a="1"/>
  <c r="C24" i="54" a="1"/>
  <c r="B27" i="61" a="1"/>
  <c r="C18" i="51" a="1"/>
  <c r="E35" i="55" a="1"/>
  <c r="C42" i="58" a="1"/>
  <c r="B40" i="51" a="1"/>
  <c r="C22" i="51" a="1"/>
  <c r="C25" i="52" a="1"/>
  <c r="C39" i="50" a="1"/>
  <c r="C40" i="50" a="1"/>
  <c r="B41" i="54"/>
  <c r="E25" i="53" a="1"/>
  <c r="C34" i="50" a="1"/>
  <c r="C37" i="56" a="1"/>
  <c r="D26" i="59" a="1"/>
  <c r="B20" i="61" a="1"/>
  <c r="B21" i="55" a="1"/>
  <c r="B6" i="52" a="1"/>
  <c r="C42" i="54" a="1"/>
  <c r="B46" i="60" a="1"/>
  <c r="E26" i="60" a="1"/>
  <c r="B27" i="52" a="1"/>
  <c r="C40" i="55" a="1"/>
  <c r="B39" i="55" a="1"/>
  <c r="B5" i="56" a="1"/>
  <c r="E14" i="56" a="1"/>
  <c r="B24" i="59" a="1"/>
  <c r="B7" i="51" a="1"/>
  <c r="B17" i="57" a="1"/>
  <c r="B22" i="51" a="1"/>
  <c r="E7" i="58" a="1"/>
  <c r="C16" i="54" a="1"/>
  <c r="C34" i="52" a="1"/>
  <c r="C29" i="60" a="1"/>
  <c r="C5" i="50" a="1"/>
  <c r="C5" i="55" a="1"/>
  <c r="B50" i="53"/>
  <c r="F7" i="60" a="1"/>
  <c r="C19" i="50" a="1"/>
  <c r="C13" i="50" a="1"/>
  <c r="B17" i="59" a="1"/>
  <c r="E14" i="59" a="1"/>
  <c r="C40" i="60" a="1"/>
  <c r="C30" i="51" a="1"/>
  <c r="B28" i="58" a="1"/>
  <c r="B26" i="51" a="1"/>
  <c r="B36" i="54" a="1"/>
  <c r="B5" i="61" a="1"/>
  <c r="E31" i="51" a="1"/>
  <c r="B9" i="54" a="1"/>
  <c r="B26" i="60" a="1"/>
  <c r="C28" i="60" a="1"/>
  <c r="E31" i="58" a="1"/>
  <c r="C19" i="51" a="1"/>
  <c r="D5" i="59" a="1"/>
  <c r="B13" i="50" a="1"/>
  <c r="C9" i="57" a="1"/>
  <c r="E21" i="57" a="1"/>
  <c r="E38" i="58" a="1"/>
  <c r="B36" i="56" a="1"/>
  <c r="C41" i="52" a="1"/>
  <c r="B44" i="60" a="1"/>
  <c r="E6" i="53" a="1"/>
  <c r="D16" i="59" a="1"/>
  <c r="F7" i="51" a="1"/>
  <c r="E39" i="55" a="1"/>
  <c r="B19" i="56" a="1"/>
  <c r="B22" i="58" a="1"/>
  <c r="B12" i="59" a="1"/>
  <c r="C27" i="50" a="1"/>
  <c r="B13" i="51" a="1"/>
  <c r="B34" i="56" a="1"/>
  <c r="F12" i="52" a="1"/>
  <c r="C8" i="59" a="1"/>
  <c r="C41" i="50" a="1"/>
  <c r="E25" i="55" a="1"/>
  <c r="B34" i="60" a="1"/>
  <c r="B35" i="55" a="1"/>
  <c r="B5" i="50" a="1"/>
  <c r="B5" i="53" a="1"/>
  <c r="C16" i="53" a="1"/>
  <c r="C20" i="51" a="1"/>
  <c r="E4" i="50" a="1"/>
  <c r="C24" i="56" a="1"/>
  <c r="B45" i="59" a="1"/>
  <c r="D25" i="56" a="1"/>
  <c r="C38" i="51" a="1"/>
  <c r="B12" i="52" a="1"/>
  <c r="C41" i="56" a="1"/>
  <c r="C36" i="52" a="1"/>
  <c r="E5" i="58" a="1"/>
  <c r="C5" i="51" a="1"/>
  <c r="C42" i="50" a="1"/>
  <c r="C18" i="61" a="1"/>
  <c r="B20" i="60" a="1"/>
  <c r="C8" i="53" a="1"/>
  <c r="E26" i="55" a="1"/>
  <c r="E40" i="55" a="1"/>
  <c r="E43" i="59" a="1"/>
  <c r="E4" i="58" a="1"/>
  <c r="C39" i="61" a="1"/>
  <c r="B37" i="50" a="1"/>
  <c r="C45" i="59" a="1"/>
  <c r="B19" i="54" a="1"/>
  <c r="B26" i="52" a="1"/>
  <c r="C26" i="52" a="1"/>
  <c r="B38" i="54" a="1"/>
  <c r="B14" i="59" a="1"/>
  <c r="C10" i="54" a="1"/>
  <c r="B30" i="56" a="1"/>
  <c r="B50" i="54"/>
  <c r="B45" i="53" a="1"/>
  <c r="B43" i="57" a="1"/>
  <c r="C39" i="54" a="1"/>
  <c r="C22" i="56" a="1"/>
  <c r="C26" i="53" a="1"/>
  <c r="C37" i="54" a="1"/>
  <c r="B46" i="59" a="1"/>
  <c r="B23" i="51" a="1"/>
  <c r="C32" i="54" a="1"/>
  <c r="C29" i="58" a="1"/>
  <c r="B38" i="61" a="1"/>
  <c r="E12" i="51" a="1"/>
  <c r="C17" i="55" a="1"/>
  <c r="B41" i="51"/>
  <c r="B45" i="52" a="1"/>
  <c r="B12" i="57" a="1"/>
  <c r="C24" i="52" a="1"/>
  <c r="B13" i="59" a="1"/>
  <c r="D37" i="53" a="1"/>
  <c r="B22" i="56" a="1"/>
  <c r="B34" i="59" a="1"/>
  <c r="B36" i="50" a="1"/>
  <c r="B35" i="59" a="1"/>
  <c r="B30" i="59" a="1"/>
  <c r="B2" i="59" a="1"/>
  <c r="B32" i="51" a="1"/>
  <c r="C9" i="50" a="1"/>
  <c r="B45" i="55" a="1"/>
  <c r="B9" i="57" a="1"/>
  <c r="B39" i="52" a="1"/>
  <c r="C39" i="53" a="1"/>
  <c r="C29" i="57" a="1"/>
  <c r="C6" i="50" a="1"/>
  <c r="B18" i="54" a="1"/>
  <c r="C24" i="53" a="1"/>
  <c r="B29" i="61" a="1"/>
  <c r="C20" i="58" a="1"/>
  <c r="B21" i="54" a="1"/>
  <c r="B25" i="58" a="1"/>
  <c r="B25" i="56" a="1"/>
  <c r="C6" i="51" a="1"/>
  <c r="C16" i="52" a="1"/>
  <c r="E18" i="59" a="1"/>
  <c r="B26" i="54" a="1"/>
  <c r="B26" i="56" a="1"/>
  <c r="B20" i="52" a="1"/>
  <c r="B26" i="58" a="1"/>
  <c r="B14" i="54" a="1"/>
  <c r="C36" i="59" a="1"/>
  <c r="C12" i="50" a="1"/>
  <c r="B13" i="55" a="1"/>
  <c r="C5" i="57" a="1"/>
  <c r="B24" i="50" a="1"/>
  <c r="C18" i="60" a="1"/>
  <c r="B35" i="54" a="1"/>
  <c r="E4" i="51" a="1"/>
  <c r="C47" i="50" a="1"/>
  <c r="C38" i="50" a="1"/>
  <c r="C25" i="57" a="1"/>
  <c r="B32" i="52" a="1"/>
  <c r="C13" i="52" a="1"/>
  <c r="C24" i="55" a="1"/>
  <c r="C37" i="57" a="1"/>
  <c r="B26" i="61" a="1"/>
  <c r="C26" i="54" a="1"/>
  <c r="B14" i="52" a="1"/>
  <c r="B16" i="50" a="1"/>
  <c r="C35" i="50" a="1"/>
  <c r="F11" i="58" a="1"/>
  <c r="E28" i="53" a="1"/>
  <c r="C28" i="51" a="1"/>
  <c r="B30" i="51" a="1"/>
  <c r="D42" i="59" a="1"/>
  <c r="B19" i="58" a="1"/>
  <c r="B17" i="60" a="1"/>
  <c r="C12" i="51" a="1"/>
  <c r="B46" i="50" a="1"/>
  <c r="C8" i="50" a="1"/>
  <c r="B19" i="52" a="1"/>
  <c r="B35" i="52" a="1"/>
  <c r="B38" i="50" a="1"/>
  <c r="B16" i="61" a="1"/>
  <c r="B46" i="58" a="1"/>
  <c r="E14" i="51" a="1"/>
  <c r="B16" i="57" a="1"/>
  <c r="E21" i="53" a="1"/>
  <c r="E21" i="58" a="1"/>
  <c r="D22" i="53" a="1"/>
  <c r="C46" i="50" a="1"/>
  <c r="B14" i="58" a="1"/>
  <c r="C16" i="60" a="1"/>
  <c r="B35" i="51" a="1"/>
  <c r="B43" i="53" a="1"/>
  <c r="B28" i="53" a="1"/>
  <c r="E33" i="51" a="1"/>
  <c r="B37" i="60" a="1"/>
  <c r="E39" i="51" a="1"/>
  <c r="B45" i="51" a="1"/>
  <c r="D23" i="53" a="1"/>
  <c r="D27" i="56" a="1"/>
  <c r="C7" i="54" a="1"/>
  <c r="E7" i="51" a="1"/>
  <c r="C13" i="54" a="1"/>
  <c r="E14" i="55" a="1"/>
  <c r="B6" i="61" a="1"/>
  <c r="C36" i="57" a="1"/>
  <c r="D37" i="55" a="1"/>
  <c r="B37" i="56" a="1"/>
  <c r="C19" i="53" a="1"/>
  <c r="B8" i="54" a="1"/>
  <c r="C19" i="56" a="1"/>
  <c r="B46" i="52" a="1"/>
  <c r="B25" i="55" a="1"/>
  <c r="B31" i="52" a="1"/>
  <c r="E5" i="53" a="1"/>
  <c r="E29" i="57" a="1"/>
  <c r="C6" i="60" a="1"/>
  <c r="B39" i="57" a="1"/>
  <c r="E12" i="59" a="1"/>
  <c r="B37" i="59" a="1"/>
  <c r="C7" i="55" a="1"/>
  <c r="E32" i="57" a="1"/>
  <c r="E31" i="50" a="1"/>
  <c r="B41" i="55"/>
  <c r="C11" i="59" a="1"/>
  <c r="B13" i="60" a="1"/>
  <c r="B30" i="50" a="1"/>
  <c r="F7" i="55" a="1"/>
  <c r="B19" i="51" a="1"/>
  <c r="E26" i="51" a="1"/>
  <c r="C44" i="58" a="1"/>
  <c r="E17" i="59" a="1"/>
  <c r="B50" i="57"/>
  <c r="C35" i="58" a="1"/>
  <c r="C7" i="50" a="1"/>
  <c r="B46" i="61" a="1"/>
  <c r="B9" i="60" a="1"/>
  <c r="C30" i="56" a="1"/>
  <c r="B33" i="51" a="1"/>
  <c r="C32" i="60" a="1"/>
  <c r="B29" i="50" a="1"/>
  <c r="B23" i="56" a="1"/>
  <c r="B19" i="61" a="1"/>
  <c r="B47" i="51" a="1"/>
  <c r="B34" i="58" a="1"/>
  <c r="E19" i="53" a="1"/>
  <c r="B37" i="52" a="1"/>
  <c r="E21" i="56" a="1"/>
  <c r="B28" i="50" a="1"/>
  <c r="B24" i="53" a="1"/>
  <c r="E8" i="59" a="1"/>
  <c r="C5" i="59" a="1"/>
  <c r="B43" i="50" a="1"/>
  <c r="B22" i="50" a="1"/>
  <c r="B12" i="51" a="1"/>
  <c r="C44" i="53" a="1"/>
  <c r="C23" i="56" a="1"/>
  <c r="B7" i="50" a="1"/>
  <c r="B29" i="57" a="1"/>
  <c r="C47" i="57" l="1"/>
  <c r="D27" i="56"/>
  <c r="C30" i="51"/>
  <c r="B37" i="50"/>
  <c r="E14" i="59"/>
  <c r="B17" i="59"/>
  <c r="C43" i="52"/>
  <c r="B19" i="53"/>
  <c r="D22" i="56"/>
  <c r="B26" i="54"/>
  <c r="D23" i="53"/>
  <c r="E18" i="59"/>
  <c r="E4" i="58"/>
  <c r="C13" i="50"/>
  <c r="B29" i="57"/>
  <c r="C5" i="54"/>
  <c r="B27" i="50"/>
  <c r="C45" i="59"/>
  <c r="B45" i="51"/>
  <c r="C40" i="60"/>
  <c r="E43" i="59"/>
  <c r="C19" i="50"/>
  <c r="C28" i="60"/>
  <c r="B30" i="53"/>
  <c r="B42" i="60"/>
  <c r="C5" i="59"/>
  <c r="E39" i="51"/>
  <c r="C39" i="61"/>
  <c r="E40" i="55"/>
  <c r="F7" i="60"/>
  <c r="B13" i="55"/>
  <c r="C30" i="52"/>
  <c r="E8" i="59"/>
  <c r="B37" i="60"/>
  <c r="C16" i="52"/>
  <c r="E26" i="55"/>
  <c r="B14" i="59"/>
  <c r="E5" i="61"/>
  <c r="C44" i="54"/>
  <c r="B24" i="53"/>
  <c r="E33" i="51"/>
  <c r="C6" i="51"/>
  <c r="C8" i="53"/>
  <c r="C5" i="55"/>
  <c r="C36" i="57"/>
  <c r="B47" i="61"/>
  <c r="C9" i="51"/>
  <c r="B28" i="50"/>
  <c r="B28" i="53"/>
  <c r="B25" i="56"/>
  <c r="B20" i="60"/>
  <c r="C5" i="50"/>
  <c r="B32" i="53"/>
  <c r="C17" i="57"/>
  <c r="B34" i="52"/>
  <c r="E21" i="56"/>
  <c r="B43" i="53"/>
  <c r="B25" i="58"/>
  <c r="C18" i="61"/>
  <c r="C29" i="60"/>
  <c r="B7" i="50"/>
  <c r="F11" i="61"/>
  <c r="C19" i="55"/>
  <c r="B37" i="52"/>
  <c r="B35" i="51"/>
  <c r="B21" i="54"/>
  <c r="C42" i="50"/>
  <c r="C34" i="52"/>
  <c r="B26" i="60"/>
  <c r="B32" i="50"/>
  <c r="C34" i="56"/>
  <c r="E19" i="53"/>
  <c r="C16" i="60"/>
  <c r="C20" i="58"/>
  <c r="C5" i="51"/>
  <c r="C16" i="54"/>
  <c r="C12" i="50"/>
  <c r="C37" i="51"/>
  <c r="B28" i="56"/>
  <c r="B34" i="58"/>
  <c r="B14" i="58"/>
  <c r="B29" i="61"/>
  <c r="E5" i="58"/>
  <c r="E7" i="58"/>
  <c r="B11" i="58" s="1"/>
  <c r="B38" i="54"/>
  <c r="C12" i="60"/>
  <c r="B17" i="50"/>
  <c r="B47" i="51"/>
  <c r="C46" i="50"/>
  <c r="C24" i="53"/>
  <c r="C36" i="52"/>
  <c r="B22" i="51"/>
  <c r="B6" i="61"/>
  <c r="C20" i="50"/>
  <c r="C27" i="52"/>
  <c r="B19" i="61"/>
  <c r="D22" i="53"/>
  <c r="B18" i="54"/>
  <c r="C41" i="56"/>
  <c r="B17" i="57"/>
  <c r="D10" i="52"/>
  <c r="C40" i="54"/>
  <c r="B23" i="56"/>
  <c r="E21" i="58"/>
  <c r="C6" i="50"/>
  <c r="B12" i="52"/>
  <c r="B7" i="51"/>
  <c r="C23" i="56"/>
  <c r="D5" i="58"/>
  <c r="C33" i="50"/>
  <c r="B29" i="50"/>
  <c r="E21" i="53"/>
  <c r="C29" i="57"/>
  <c r="C38" i="51"/>
  <c r="B24" i="59"/>
  <c r="B9" i="54"/>
  <c r="C34" i="59"/>
  <c r="B29" i="53"/>
  <c r="C32" i="60"/>
  <c r="B16" i="57"/>
  <c r="C39" i="53"/>
  <c r="D25" i="56"/>
  <c r="E14" i="56"/>
  <c r="C36" i="59"/>
  <c r="C6" i="55"/>
  <c r="C47" i="51"/>
  <c r="B33" i="51"/>
  <c r="E14" i="51"/>
  <c r="B39" i="52"/>
  <c r="B45" i="59"/>
  <c r="B5" i="56"/>
  <c r="C26" i="52"/>
  <c r="B42" i="50"/>
  <c r="C12" i="56"/>
  <c r="C30" i="56"/>
  <c r="B46" i="58"/>
  <c r="B9" i="57"/>
  <c r="C24" i="56"/>
  <c r="B39" i="55"/>
  <c r="C41" i="54"/>
  <c r="B34" i="50"/>
  <c r="B6" i="58"/>
  <c r="B9" i="60"/>
  <c r="B16" i="61"/>
  <c r="B45" i="55"/>
  <c r="E4" i="50"/>
  <c r="C40" i="55"/>
  <c r="E14" i="55"/>
  <c r="C6" i="56"/>
  <c r="E7" i="61"/>
  <c r="B11" i="61" s="1"/>
  <c r="B46" i="61"/>
  <c r="B38" i="50"/>
  <c r="C9" i="50"/>
  <c r="C20" i="51"/>
  <c r="B27" i="52"/>
  <c r="C44" i="53"/>
  <c r="B47" i="57"/>
  <c r="B39" i="59"/>
  <c r="C7" i="50"/>
  <c r="B35" i="52"/>
  <c r="B32" i="51"/>
  <c r="C16" i="53"/>
  <c r="E26" i="60"/>
  <c r="E31" i="51"/>
  <c r="C17" i="51"/>
  <c r="E22" i="53"/>
  <c r="C35" i="58"/>
  <c r="B19" i="52"/>
  <c r="B2" i="59"/>
  <c r="B5" i="53"/>
  <c r="B46" i="60"/>
  <c r="B14" i="54"/>
  <c r="C47" i="52"/>
  <c r="C8" i="50"/>
  <c r="B30" i="59"/>
  <c r="B5" i="50"/>
  <c r="C42" i="54"/>
  <c r="C25" i="53"/>
  <c r="B42" i="54"/>
  <c r="C22" i="60"/>
  <c r="E17" i="59"/>
  <c r="B46" i="50"/>
  <c r="B35" i="59"/>
  <c r="B35" i="55"/>
  <c r="B6" i="52"/>
  <c r="B26" i="52"/>
  <c r="E18" i="53"/>
  <c r="C17" i="54"/>
  <c r="C44" i="58"/>
  <c r="C12" i="51"/>
  <c r="B36" i="50"/>
  <c r="B34" i="60"/>
  <c r="B21" i="55"/>
  <c r="B12" i="51"/>
  <c r="C34" i="61"/>
  <c r="C36" i="61"/>
  <c r="E26" i="51"/>
  <c r="B17" i="60"/>
  <c r="B34" i="59"/>
  <c r="E25" i="55"/>
  <c r="B20" i="61"/>
  <c r="B5" i="61"/>
  <c r="B23" i="52"/>
  <c r="B35" i="58"/>
  <c r="B19" i="51"/>
  <c r="B19" i="58"/>
  <c r="B22" i="56"/>
  <c r="C41" i="50"/>
  <c r="D26" i="59"/>
  <c r="C13" i="54"/>
  <c r="B23" i="58"/>
  <c r="D15" i="51"/>
  <c r="F7" i="55"/>
  <c r="D42" i="59"/>
  <c r="D37" i="53"/>
  <c r="C8" i="59"/>
  <c r="C37" i="56"/>
  <c r="B26" i="58"/>
  <c r="B43" i="54"/>
  <c r="C11" i="50"/>
  <c r="B30" i="50"/>
  <c r="B30" i="51"/>
  <c r="B13" i="59"/>
  <c r="F12" i="52"/>
  <c r="C34" i="50"/>
  <c r="D6" i="58"/>
  <c r="B47" i="50"/>
  <c r="C16" i="59"/>
  <c r="C33" i="52"/>
  <c r="C44" i="60"/>
  <c r="F9" i="57"/>
  <c r="B9" i="50"/>
  <c r="B13" i="60"/>
  <c r="B12" i="60"/>
  <c r="C39" i="56"/>
  <c r="C28" i="51"/>
  <c r="C24" i="52"/>
  <c r="C11" i="53"/>
  <c r="B29" i="54"/>
  <c r="B22" i="55"/>
  <c r="B34" i="56"/>
  <c r="B15" i="53"/>
  <c r="B36" i="51"/>
  <c r="E25" i="53"/>
  <c r="B36" i="54"/>
  <c r="C9" i="55"/>
  <c r="B38" i="52"/>
  <c r="B37" i="53"/>
  <c r="B21" i="51"/>
  <c r="B29" i="51"/>
  <c r="C32" i="50"/>
  <c r="C40" i="61"/>
  <c r="C11" i="59"/>
  <c r="B22" i="53"/>
  <c r="B7" i="56"/>
  <c r="B33" i="53"/>
  <c r="E28" i="53"/>
  <c r="C12" i="52"/>
  <c r="B25" i="60"/>
  <c r="B12" i="57"/>
  <c r="B13" i="51"/>
  <c r="C35" i="56"/>
  <c r="C40" i="53"/>
  <c r="C22" i="50"/>
  <c r="B44" i="52"/>
  <c r="E37" i="53"/>
  <c r="D12" i="51"/>
  <c r="E14" i="52"/>
  <c r="C38" i="56"/>
  <c r="C30" i="55"/>
  <c r="F11" i="50"/>
  <c r="C42" i="52"/>
  <c r="F11" i="58"/>
  <c r="B40" i="57"/>
  <c r="B39" i="50"/>
  <c r="B45" i="52"/>
  <c r="E39" i="53"/>
  <c r="B46" i="55"/>
  <c r="C27" i="50"/>
  <c r="C40" i="50"/>
  <c r="E40" i="53"/>
  <c r="B20" i="58"/>
  <c r="B31" i="50"/>
  <c r="B22" i="50"/>
  <c r="F10" i="51"/>
  <c r="E17" i="53"/>
  <c r="E17" i="56"/>
  <c r="E14" i="60"/>
  <c r="E22" i="51"/>
  <c r="C23" i="51"/>
  <c r="E5" i="55"/>
  <c r="E31" i="50"/>
  <c r="C28" i="50"/>
  <c r="B42" i="58"/>
  <c r="C35" i="50"/>
  <c r="D26" i="53"/>
  <c r="D16" i="55"/>
  <c r="B19" i="57"/>
  <c r="B12" i="59"/>
  <c r="C18" i="50"/>
  <c r="E28" i="59"/>
  <c r="C39" i="50"/>
  <c r="E7" i="51"/>
  <c r="B11" i="51" s="1"/>
  <c r="B25" i="52"/>
  <c r="C10" i="53"/>
  <c r="E6" i="57"/>
  <c r="B36" i="58"/>
  <c r="C24" i="51"/>
  <c r="E21" i="51"/>
  <c r="C43" i="53"/>
  <c r="E32" i="57"/>
  <c r="B29" i="59"/>
  <c r="C9" i="52"/>
  <c r="E37" i="51"/>
  <c r="B16" i="50"/>
  <c r="B37" i="51"/>
  <c r="E9" i="53"/>
  <c r="C17" i="55"/>
  <c r="B22" i="58"/>
  <c r="B24" i="60"/>
  <c r="C39" i="51"/>
  <c r="B21" i="50"/>
  <c r="C25" i="52"/>
  <c r="C41" i="55"/>
  <c r="B34" i="61"/>
  <c r="B20" i="52"/>
  <c r="C41" i="51"/>
  <c r="B33" i="54"/>
  <c r="C44" i="61"/>
  <c r="B26" i="53"/>
  <c r="C5" i="61"/>
  <c r="C19" i="54"/>
  <c r="C46" i="59"/>
  <c r="C7" i="55"/>
  <c r="B14" i="52"/>
  <c r="D17" i="51"/>
  <c r="B15" i="50"/>
  <c r="C24" i="50"/>
  <c r="E12" i="51"/>
  <c r="B17" i="52"/>
  <c r="B9" i="53"/>
  <c r="B19" i="56"/>
  <c r="C39" i="57"/>
  <c r="C15" i="61"/>
  <c r="E7" i="50"/>
  <c r="B11" i="50" s="1"/>
  <c r="C22" i="51"/>
  <c r="C15" i="53"/>
  <c r="B15" i="55"/>
  <c r="D15" i="60"/>
  <c r="B28" i="60"/>
  <c r="C35" i="52"/>
  <c r="C28" i="55"/>
  <c r="B28" i="54"/>
  <c r="C30" i="57"/>
  <c r="D35" i="53"/>
  <c r="E32" i="55"/>
  <c r="C25" i="55"/>
  <c r="C9" i="56"/>
  <c r="B47" i="55"/>
  <c r="F8" i="58"/>
  <c r="F9" i="59"/>
  <c r="B38" i="58"/>
  <c r="B45" i="60"/>
  <c r="E21" i="61"/>
  <c r="E16" i="53"/>
  <c r="E4" i="53"/>
  <c r="E21" i="54"/>
  <c r="C34" i="55"/>
  <c r="B31" i="57"/>
  <c r="C23" i="58"/>
  <c r="C7" i="57"/>
  <c r="B37" i="59"/>
  <c r="C12" i="61"/>
  <c r="B6" i="51"/>
  <c r="C29" i="50"/>
  <c r="B17" i="51"/>
  <c r="C13" i="51"/>
  <c r="C38" i="52"/>
  <c r="D34" i="55"/>
  <c r="C26" i="54"/>
  <c r="E4" i="56"/>
  <c r="E18" i="56"/>
  <c r="F8" i="55"/>
  <c r="B27" i="57"/>
  <c r="C11" i="60"/>
  <c r="C35" i="59"/>
  <c r="B36" i="61"/>
  <c r="B38" i="61"/>
  <c r="B31" i="51"/>
  <c r="C33" i="54"/>
  <c r="C23" i="50"/>
  <c r="B33" i="52"/>
  <c r="F11" i="51"/>
  <c r="C34" i="51"/>
  <c r="B18" i="55"/>
  <c r="E39" i="55"/>
  <c r="C25" i="54"/>
  <c r="B6" i="55"/>
  <c r="C28" i="56"/>
  <c r="E27" i="57"/>
  <c r="C33" i="57"/>
  <c r="B44" i="59"/>
  <c r="C43" i="59"/>
  <c r="B40" i="51"/>
  <c r="C36" i="50"/>
  <c r="B20" i="50"/>
  <c r="B5" i="51"/>
  <c r="B34" i="51"/>
  <c r="B43" i="52"/>
  <c r="D35" i="55"/>
  <c r="C13" i="53"/>
  <c r="C10" i="55"/>
  <c r="D7" i="55"/>
  <c r="B18" i="56"/>
  <c r="E31" i="57"/>
  <c r="D38" i="60"/>
  <c r="B33" i="59"/>
  <c r="B37" i="61"/>
  <c r="C38" i="60"/>
  <c r="B9" i="56"/>
  <c r="C8" i="57"/>
  <c r="C26" i="58"/>
  <c r="D37" i="59"/>
  <c r="B13" i="57"/>
  <c r="B39" i="58"/>
  <c r="B27" i="59"/>
  <c r="C27" i="61"/>
  <c r="B8" i="61"/>
  <c r="B24" i="52"/>
  <c r="B18" i="53"/>
  <c r="C7" i="53"/>
  <c r="E38" i="53"/>
  <c r="B13" i="56"/>
  <c r="F12" i="55"/>
  <c r="C12" i="55"/>
  <c r="E12" i="59"/>
  <c r="E29" i="59"/>
  <c r="D27" i="59"/>
  <c r="B18" i="58"/>
  <c r="B8" i="59"/>
  <c r="B5" i="60"/>
  <c r="B40" i="60"/>
  <c r="B26" i="61"/>
  <c r="E31" i="53"/>
  <c r="B34" i="53"/>
  <c r="C20" i="53"/>
  <c r="D12" i="55"/>
  <c r="C43" i="54"/>
  <c r="C45" i="55"/>
  <c r="C5" i="56"/>
  <c r="C29" i="58"/>
  <c r="C13" i="57"/>
  <c r="C46" i="57"/>
  <c r="C43" i="58"/>
  <c r="E38" i="59"/>
  <c r="C41" i="60"/>
  <c r="C13" i="59"/>
  <c r="C35" i="61"/>
  <c r="F7" i="51"/>
  <c r="C33" i="51"/>
  <c r="C23" i="54"/>
  <c r="B24" i="55"/>
  <c r="B17" i="54"/>
  <c r="B47" i="54"/>
  <c r="C27" i="56"/>
  <c r="B46" i="57"/>
  <c r="C42" i="58"/>
  <c r="C32" i="57"/>
  <c r="C40" i="59"/>
  <c r="C9" i="59"/>
  <c r="B40" i="52"/>
  <c r="C38" i="53"/>
  <c r="D35" i="51"/>
  <c r="B26" i="51"/>
  <c r="C6" i="52"/>
  <c r="B7" i="55"/>
  <c r="B12" i="54"/>
  <c r="B27" i="55"/>
  <c r="B36" i="55"/>
  <c r="B39" i="56"/>
  <c r="D16" i="57"/>
  <c r="C43" i="57"/>
  <c r="B44" i="58"/>
  <c r="C40" i="58"/>
  <c r="B35" i="61"/>
  <c r="C11" i="51"/>
  <c r="B14" i="50"/>
  <c r="B45" i="50"/>
  <c r="C26" i="51"/>
  <c r="C15" i="51"/>
  <c r="B44" i="51"/>
  <c r="E12" i="53"/>
  <c r="B15" i="54"/>
  <c r="C34" i="54"/>
  <c r="B29" i="55"/>
  <c r="B46" i="56"/>
  <c r="F10" i="58"/>
  <c r="B39" i="57"/>
  <c r="B33" i="58"/>
  <c r="C38" i="59"/>
  <c r="C13" i="61"/>
  <c r="B43" i="55"/>
  <c r="B6" i="57"/>
  <c r="E16" i="59"/>
  <c r="C27" i="57"/>
  <c r="C37" i="57"/>
  <c r="C30" i="59"/>
  <c r="B19" i="60"/>
  <c r="E31" i="60"/>
  <c r="B17" i="61"/>
  <c r="C12" i="53"/>
  <c r="C46" i="55"/>
  <c r="E11" i="53"/>
  <c r="C32" i="54"/>
  <c r="E14" i="54"/>
  <c r="C26" i="55"/>
  <c r="C36" i="55"/>
  <c r="B25" i="57"/>
  <c r="C26" i="57"/>
  <c r="C10" i="57"/>
  <c r="B13" i="58"/>
  <c r="D16" i="59"/>
  <c r="B38" i="59"/>
  <c r="C45" i="61"/>
  <c r="E14" i="61"/>
  <c r="C7" i="52"/>
  <c r="D33" i="53"/>
  <c r="C36" i="53"/>
  <c r="C17" i="53"/>
  <c r="E35" i="55"/>
  <c r="C43" i="56"/>
  <c r="C15" i="54"/>
  <c r="C13" i="56"/>
  <c r="C23" i="57"/>
  <c r="C15" i="58"/>
  <c r="C25" i="58"/>
  <c r="D38" i="59"/>
  <c r="C11" i="61"/>
  <c r="C39" i="58"/>
  <c r="C13" i="60"/>
  <c r="C34" i="60"/>
  <c r="D25" i="59"/>
  <c r="B28" i="61"/>
  <c r="E32" i="53"/>
  <c r="F9" i="55"/>
  <c r="C45" i="54"/>
  <c r="B30" i="54"/>
  <c r="C16" i="57"/>
  <c r="D36" i="59"/>
  <c r="B22" i="59"/>
  <c r="C24" i="61"/>
  <c r="D15" i="61"/>
  <c r="B30" i="61"/>
  <c r="C33" i="53"/>
  <c r="B7" i="54"/>
  <c r="B19" i="55"/>
  <c r="B43" i="56"/>
  <c r="C22" i="57"/>
  <c r="B33" i="57"/>
  <c r="B43" i="60"/>
  <c r="B21" i="59"/>
  <c r="C6" i="60"/>
  <c r="C37" i="52"/>
  <c r="B40" i="50"/>
  <c r="D33" i="51"/>
  <c r="C45" i="52"/>
  <c r="C5" i="52"/>
  <c r="C38" i="54"/>
  <c r="B6" i="54"/>
  <c r="C24" i="55"/>
  <c r="B32" i="55"/>
  <c r="B38" i="56"/>
  <c r="B14" i="57"/>
  <c r="C42" i="57"/>
  <c r="B8" i="58"/>
  <c r="C38" i="58"/>
  <c r="C30" i="61"/>
  <c r="B23" i="51"/>
  <c r="E6" i="50"/>
  <c r="C10" i="50"/>
  <c r="B5" i="52"/>
  <c r="B15" i="51"/>
  <c r="B15" i="52"/>
  <c r="C35" i="53"/>
  <c r="B38" i="53"/>
  <c r="E6" i="53"/>
  <c r="B5" i="55"/>
  <c r="C38" i="55"/>
  <c r="B28" i="57"/>
  <c r="C28" i="58"/>
  <c r="C13" i="58"/>
  <c r="B43" i="59"/>
  <c r="C32" i="61"/>
  <c r="C18" i="51"/>
  <c r="B33" i="50"/>
  <c r="C17" i="50"/>
  <c r="B36" i="52"/>
  <c r="C22" i="52"/>
  <c r="B22" i="52"/>
  <c r="B13" i="53"/>
  <c r="D24" i="56"/>
  <c r="D39" i="55"/>
  <c r="B47" i="53"/>
  <c r="C20" i="56"/>
  <c r="C19" i="58"/>
  <c r="E27" i="59"/>
  <c r="C20" i="59"/>
  <c r="C46" i="58"/>
  <c r="B45" i="61"/>
  <c r="C17" i="56"/>
  <c r="B5" i="57"/>
  <c r="B14" i="60"/>
  <c r="B36" i="57"/>
  <c r="C27" i="58"/>
  <c r="C17" i="60"/>
  <c r="D19" i="61"/>
  <c r="C10" i="59"/>
  <c r="B42" i="61"/>
  <c r="C11" i="55"/>
  <c r="C18" i="53"/>
  <c r="C5" i="53"/>
  <c r="E21" i="55"/>
  <c r="E8" i="55"/>
  <c r="C45" i="56"/>
  <c r="B8" i="56"/>
  <c r="E29" i="57"/>
  <c r="B20" i="57"/>
  <c r="B12" i="58"/>
  <c r="D15" i="59"/>
  <c r="C10" i="60"/>
  <c r="D8" i="61"/>
  <c r="C26" i="59"/>
  <c r="C38" i="61"/>
  <c r="C13" i="52"/>
  <c r="D5" i="53"/>
  <c r="B40" i="53"/>
  <c r="F10" i="54"/>
  <c r="E7" i="53"/>
  <c r="B11" i="53" s="1"/>
  <c r="B14" i="55"/>
  <c r="B24" i="54"/>
  <c r="B31" i="56"/>
  <c r="B46" i="59"/>
  <c r="B24" i="58"/>
  <c r="E21" i="59"/>
  <c r="C23" i="61"/>
  <c r="B37" i="58"/>
  <c r="B16" i="59"/>
  <c r="B36" i="60"/>
  <c r="C6" i="61"/>
  <c r="B44" i="60"/>
  <c r="B35" i="50"/>
  <c r="C25" i="50"/>
  <c r="D16" i="52"/>
  <c r="B18" i="52"/>
  <c r="C35" i="54"/>
  <c r="B20" i="56"/>
  <c r="C40" i="57"/>
  <c r="B27" i="61"/>
  <c r="B33" i="55"/>
  <c r="E5" i="57"/>
  <c r="B21" i="60"/>
  <c r="B23" i="53"/>
  <c r="B40" i="54"/>
  <c r="C45" i="53"/>
  <c r="C7" i="54"/>
  <c r="C47" i="56"/>
  <c r="D38" i="57"/>
  <c r="C10" i="58"/>
  <c r="B40" i="61"/>
  <c r="C19" i="59"/>
  <c r="C9" i="61"/>
  <c r="B7" i="52"/>
  <c r="C36" i="56"/>
  <c r="B28" i="55"/>
  <c r="C32" i="56"/>
  <c r="C28" i="61"/>
  <c r="D6" i="59"/>
  <c r="E4" i="61"/>
  <c r="B31" i="61"/>
  <c r="E21" i="52"/>
  <c r="B8" i="50"/>
  <c r="C45" i="51"/>
  <c r="C46" i="52"/>
  <c r="B8" i="51"/>
  <c r="E24" i="53"/>
  <c r="D32" i="53"/>
  <c r="E5" i="53"/>
  <c r="B46" i="54"/>
  <c r="C37" i="55"/>
  <c r="C23" i="59"/>
  <c r="C24" i="58"/>
  <c r="B8" i="57"/>
  <c r="C39" i="59"/>
  <c r="B21" i="61"/>
  <c r="B32" i="52"/>
  <c r="C44" i="50"/>
  <c r="B19" i="50"/>
  <c r="C11" i="52"/>
  <c r="B27" i="51"/>
  <c r="B9" i="52"/>
  <c r="E8" i="54"/>
  <c r="B12" i="53"/>
  <c r="C37" i="54"/>
  <c r="B45" i="54"/>
  <c r="B15" i="56"/>
  <c r="B22" i="57"/>
  <c r="D11" i="60"/>
  <c r="B23" i="59"/>
  <c r="B32" i="61"/>
  <c r="C35" i="60"/>
  <c r="C41" i="52"/>
  <c r="E14" i="50"/>
  <c r="B26" i="50"/>
  <c r="C29" i="51"/>
  <c r="C32" i="52"/>
  <c r="B39" i="53"/>
  <c r="C6" i="53"/>
  <c r="C28" i="54"/>
  <c r="C24" i="54"/>
  <c r="B25" i="54"/>
  <c r="D39" i="57"/>
  <c r="C45" i="58"/>
  <c r="C33" i="58"/>
  <c r="C27" i="60"/>
  <c r="C26" i="60"/>
  <c r="B24" i="61"/>
  <c r="B26" i="56"/>
  <c r="E16" i="60"/>
  <c r="D8" i="58"/>
  <c r="B7" i="58"/>
  <c r="C30" i="60"/>
  <c r="B12" i="61"/>
  <c r="C12" i="59"/>
  <c r="C46" i="60"/>
  <c r="C16" i="61"/>
  <c r="D17" i="53"/>
  <c r="E27" i="53"/>
  <c r="C29" i="53"/>
  <c r="B12" i="56"/>
  <c r="C6" i="54"/>
  <c r="C18" i="54"/>
  <c r="B17" i="56"/>
  <c r="E38" i="57"/>
  <c r="C18" i="58"/>
  <c r="B43" i="58"/>
  <c r="D39" i="60"/>
  <c r="B32" i="58"/>
  <c r="B5" i="59"/>
  <c r="C19" i="60"/>
  <c r="C37" i="60"/>
  <c r="B31" i="52"/>
  <c r="D16" i="53"/>
  <c r="B13" i="54"/>
  <c r="C47" i="55"/>
  <c r="C22" i="54"/>
  <c r="B30" i="55"/>
  <c r="C46" i="54"/>
  <c r="B47" i="56"/>
  <c r="C25" i="57"/>
  <c r="F7" i="59"/>
  <c r="E6" i="61"/>
  <c r="C35" i="57"/>
  <c r="C22" i="59"/>
  <c r="B15" i="60"/>
  <c r="B27" i="60"/>
  <c r="B15" i="61"/>
  <c r="C26" i="53"/>
  <c r="D9" i="56"/>
  <c r="D36" i="57"/>
  <c r="B31" i="60"/>
  <c r="C37" i="53"/>
  <c r="E29" i="53"/>
  <c r="D15" i="55"/>
  <c r="B26" i="55"/>
  <c r="B36" i="56"/>
  <c r="E4" i="57"/>
  <c r="C23" i="60"/>
  <c r="C5" i="58"/>
  <c r="C36" i="58"/>
  <c r="C22" i="61"/>
  <c r="C8" i="51"/>
  <c r="B44" i="53"/>
  <c r="B6" i="53"/>
  <c r="C20" i="54"/>
  <c r="B29" i="56"/>
  <c r="D29" i="58"/>
  <c r="C41" i="57"/>
  <c r="C8" i="60"/>
  <c r="C37" i="59"/>
  <c r="C19" i="61"/>
  <c r="B19" i="54"/>
  <c r="B18" i="50"/>
  <c r="D8" i="52"/>
  <c r="C25" i="51"/>
  <c r="C8" i="52"/>
  <c r="E33" i="53"/>
  <c r="E10" i="53"/>
  <c r="C30" i="54"/>
  <c r="B44" i="54"/>
  <c r="B8" i="55"/>
  <c r="C15" i="57"/>
  <c r="C47" i="59"/>
  <c r="B19" i="59"/>
  <c r="B14" i="61"/>
  <c r="C33" i="60"/>
  <c r="B39" i="51"/>
  <c r="C43" i="50"/>
  <c r="B44" i="50"/>
  <c r="D10" i="51"/>
  <c r="F12" i="51"/>
  <c r="B43" i="51"/>
  <c r="C29" i="55"/>
  <c r="C47" i="53"/>
  <c r="C27" i="54"/>
  <c r="B25" i="55"/>
  <c r="B45" i="56"/>
  <c r="D7" i="58"/>
  <c r="B38" i="57"/>
  <c r="C27" i="59"/>
  <c r="B8" i="60"/>
  <c r="C40" i="51"/>
  <c r="C38" i="50"/>
  <c r="B14" i="51"/>
  <c r="B18" i="51"/>
  <c r="C40" i="52"/>
  <c r="B16" i="53"/>
  <c r="B17" i="53"/>
  <c r="E36" i="53"/>
  <c r="C10" i="56"/>
  <c r="C22" i="56"/>
  <c r="E35" i="57"/>
  <c r="C43" i="60"/>
  <c r="D12" i="60"/>
  <c r="C24" i="60"/>
  <c r="C40" i="56"/>
  <c r="C8" i="58"/>
  <c r="E38" i="58"/>
  <c r="C24" i="59"/>
  <c r="E31" i="59"/>
  <c r="B17" i="58"/>
  <c r="B6" i="59"/>
  <c r="B42" i="59"/>
  <c r="B39" i="60"/>
  <c r="B25" i="61"/>
  <c r="C23" i="53"/>
  <c r="B20" i="53"/>
  <c r="B32" i="54"/>
  <c r="C42" i="53"/>
  <c r="B20" i="55"/>
  <c r="B27" i="54"/>
  <c r="B42" i="56"/>
  <c r="F10" i="57"/>
  <c r="B28" i="58"/>
  <c r="E40" i="59"/>
  <c r="E14" i="57"/>
  <c r="B40" i="58"/>
  <c r="C28" i="59"/>
  <c r="B33" i="61"/>
  <c r="C5" i="60"/>
  <c r="B47" i="52"/>
  <c r="D8" i="54"/>
  <c r="C36" i="54"/>
  <c r="B42" i="53"/>
  <c r="C33" i="56"/>
  <c r="C44" i="56"/>
  <c r="C46" i="56"/>
  <c r="C15" i="56"/>
  <c r="E12" i="58"/>
  <c r="D43" i="59"/>
  <c r="B34" i="57"/>
  <c r="C7" i="58"/>
  <c r="C9" i="60"/>
  <c r="B32" i="60"/>
  <c r="C47" i="61"/>
  <c r="C8" i="61"/>
  <c r="D38" i="55"/>
  <c r="B46" i="52"/>
  <c r="B20" i="51"/>
  <c r="E31" i="55"/>
  <c r="F11" i="55"/>
  <c r="B40" i="59"/>
  <c r="B31" i="59"/>
  <c r="C44" i="52"/>
  <c r="C47" i="50"/>
  <c r="C46" i="51"/>
  <c r="B21" i="53"/>
  <c r="B6" i="56"/>
  <c r="B9" i="58"/>
  <c r="B29" i="60"/>
  <c r="C23" i="52"/>
  <c r="B8" i="53"/>
  <c r="C39" i="54"/>
  <c r="C19" i="57"/>
  <c r="B9" i="59"/>
  <c r="E4" i="55"/>
  <c r="E26" i="53"/>
  <c r="D16" i="56"/>
  <c r="B20" i="54"/>
  <c r="C32" i="55"/>
  <c r="E21" i="57"/>
  <c r="C22" i="58"/>
  <c r="C6" i="57"/>
  <c r="C18" i="59"/>
  <c r="B7" i="61"/>
  <c r="D18" i="56"/>
  <c r="C44" i="55"/>
  <c r="E6" i="55"/>
  <c r="E31" i="54"/>
  <c r="C20" i="57"/>
  <c r="E39" i="59"/>
  <c r="B32" i="59"/>
  <c r="C29" i="61"/>
  <c r="C46" i="61"/>
  <c r="B23" i="50"/>
  <c r="C28" i="53"/>
  <c r="B43" i="50"/>
  <c r="E6" i="51"/>
  <c r="C10" i="51"/>
  <c r="B42" i="51"/>
  <c r="B23" i="55"/>
  <c r="E34" i="53"/>
  <c r="B16" i="54"/>
  <c r="C22" i="55"/>
  <c r="B44" i="56"/>
  <c r="E39" i="58"/>
  <c r="B35" i="57"/>
  <c r="B26" i="59"/>
  <c r="C7" i="60"/>
  <c r="C32" i="51"/>
  <c r="C30" i="50"/>
  <c r="C16" i="50"/>
  <c r="C28" i="52"/>
  <c r="C10" i="52"/>
  <c r="C19" i="52"/>
  <c r="B36" i="53"/>
  <c r="E15" i="56"/>
  <c r="B34" i="55"/>
  <c r="B46" i="53"/>
  <c r="C19" i="56"/>
  <c r="C16" i="58"/>
  <c r="C15" i="59"/>
  <c r="B18" i="59"/>
  <c r="B45" i="58"/>
  <c r="B44" i="61"/>
  <c r="C17" i="52"/>
  <c r="C26" i="50"/>
  <c r="E4" i="51"/>
  <c r="C16" i="51"/>
  <c r="C35" i="51"/>
  <c r="B14" i="53"/>
  <c r="B14" i="56"/>
  <c r="B34" i="54"/>
  <c r="B16" i="55"/>
  <c r="C29" i="56"/>
  <c r="B43" i="57"/>
  <c r="D13" i="59"/>
  <c r="C34" i="57"/>
  <c r="B6" i="60"/>
  <c r="C44" i="59"/>
  <c r="C35" i="55"/>
  <c r="B23" i="57"/>
  <c r="C24" i="57"/>
  <c r="C9" i="57"/>
  <c r="C12" i="58"/>
  <c r="E9" i="59"/>
  <c r="C32" i="59"/>
  <c r="C10" i="61"/>
  <c r="B13" i="61"/>
  <c r="B42" i="52"/>
  <c r="B37" i="55"/>
  <c r="B38" i="55"/>
  <c r="E19" i="56"/>
  <c r="B39" i="54"/>
  <c r="B40" i="55"/>
  <c r="C11" i="56"/>
  <c r="B44" i="55"/>
  <c r="B15" i="57"/>
  <c r="B20" i="59"/>
  <c r="C28" i="57"/>
  <c r="C38" i="57"/>
  <c r="C33" i="59"/>
  <c r="C20" i="60"/>
  <c r="B33" i="60"/>
  <c r="B18" i="61"/>
  <c r="B46" i="51"/>
  <c r="D5" i="55"/>
  <c r="D12" i="53"/>
  <c r="B37" i="54"/>
  <c r="C13" i="55"/>
  <c r="B42" i="55"/>
  <c r="B32" i="56"/>
  <c r="B24" i="56"/>
  <c r="F9" i="58"/>
  <c r="E6" i="58"/>
  <c r="B5" i="58"/>
  <c r="E32" i="59"/>
  <c r="B35" i="60"/>
  <c r="C6" i="59"/>
  <c r="C42" i="60"/>
  <c r="D39" i="53"/>
  <c r="F7" i="54"/>
  <c r="B8" i="54"/>
  <c r="C25" i="56"/>
  <c r="B42" i="57"/>
  <c r="D26" i="58"/>
  <c r="B21" i="57"/>
  <c r="C29" i="59"/>
  <c r="C43" i="61"/>
  <c r="B38" i="51"/>
  <c r="B35" i="54"/>
  <c r="C15" i="50"/>
  <c r="C43" i="51"/>
  <c r="C44" i="51"/>
  <c r="C18" i="52"/>
  <c r="E23" i="53"/>
  <c r="D11" i="56"/>
  <c r="B31" i="55"/>
  <c r="B45" i="53"/>
  <c r="C16" i="56"/>
  <c r="D13" i="58"/>
  <c r="E11" i="59"/>
  <c r="B7" i="59"/>
  <c r="B31" i="58"/>
  <c r="B9" i="61"/>
  <c r="C7" i="51"/>
  <c r="B13" i="50"/>
  <c r="B25" i="50"/>
  <c r="C27" i="51"/>
  <c r="B21" i="52"/>
  <c r="E31" i="52"/>
  <c r="C34" i="53"/>
  <c r="C12" i="54"/>
  <c r="C8" i="54"/>
  <c r="B23" i="54"/>
  <c r="E31" i="56"/>
  <c r="C34" i="58"/>
  <c r="B21" i="58"/>
  <c r="C25" i="60"/>
  <c r="C15" i="60"/>
  <c r="B22" i="61"/>
  <c r="B35" i="53"/>
  <c r="B6" i="50"/>
  <c r="E7" i="52"/>
  <c r="B11" i="52" s="1"/>
  <c r="B28" i="51"/>
  <c r="B8" i="52"/>
  <c r="F7" i="56"/>
  <c r="B12" i="55"/>
  <c r="E29" i="55"/>
  <c r="C43" i="55"/>
  <c r="D18" i="57"/>
  <c r="C44" i="57"/>
  <c r="D12" i="59"/>
  <c r="C7" i="59"/>
  <c r="B38" i="60"/>
  <c r="C7" i="56"/>
  <c r="F11" i="57"/>
  <c r="B18" i="57"/>
  <c r="C11" i="58"/>
  <c r="D9" i="59"/>
  <c r="B7" i="60"/>
  <c r="B47" i="60"/>
  <c r="B25" i="59"/>
  <c r="C37" i="61"/>
  <c r="B9" i="51"/>
  <c r="C19" i="53"/>
  <c r="B17" i="55"/>
  <c r="C46" i="53"/>
  <c r="C9" i="54"/>
  <c r="B31" i="54"/>
  <c r="C26" i="56"/>
  <c r="C18" i="56"/>
  <c r="C11" i="57"/>
  <c r="C18" i="60"/>
  <c r="B37" i="57"/>
  <c r="B29" i="58"/>
  <c r="B22" i="60"/>
  <c r="C25" i="61"/>
  <c r="C42" i="59"/>
  <c r="B43" i="61"/>
  <c r="C20" i="52"/>
  <c r="C29" i="54"/>
  <c r="E35" i="53"/>
  <c r="E36" i="55"/>
  <c r="C47" i="54"/>
  <c r="B40" i="56"/>
  <c r="E36" i="57"/>
  <c r="B26" i="57"/>
  <c r="D5" i="59"/>
  <c r="C25" i="59"/>
  <c r="B15" i="58"/>
  <c r="C41" i="58"/>
  <c r="B36" i="59"/>
  <c r="B39" i="61"/>
  <c r="B23" i="61"/>
  <c r="B12" i="50"/>
  <c r="E5" i="50"/>
  <c r="D8" i="51"/>
  <c r="C36" i="51"/>
  <c r="E15" i="53"/>
  <c r="B33" i="56"/>
  <c r="D19" i="60"/>
  <c r="C39" i="60"/>
  <c r="D11" i="53"/>
  <c r="E21" i="50"/>
  <c r="C29" i="52"/>
  <c r="D28" i="53"/>
  <c r="C23" i="55"/>
  <c r="E10" i="59"/>
  <c r="C47" i="58"/>
  <c r="B24" i="51"/>
  <c r="C27" i="53"/>
  <c r="C16" i="55"/>
  <c r="C45" i="57"/>
  <c r="B30" i="60"/>
  <c r="C30" i="53"/>
  <c r="B31" i="53"/>
  <c r="C42" i="56"/>
  <c r="D17" i="55"/>
  <c r="C8" i="56"/>
  <c r="B24" i="57"/>
  <c r="B32" i="57"/>
  <c r="D36" i="60"/>
  <c r="C17" i="59"/>
  <c r="C7" i="61"/>
  <c r="C22" i="53"/>
  <c r="C18" i="55"/>
  <c r="C27" i="55"/>
  <c r="B37" i="56"/>
  <c r="C12" i="57"/>
  <c r="D16" i="61"/>
  <c r="C6" i="58"/>
  <c r="C37" i="58"/>
  <c r="C26" i="61"/>
  <c r="E24" i="51"/>
  <c r="B9" i="55"/>
  <c r="B24" i="50"/>
  <c r="B25" i="51"/>
  <c r="B13" i="52"/>
  <c r="B30" i="52"/>
  <c r="B27" i="53"/>
  <c r="C11" i="54"/>
  <c r="C41" i="53"/>
  <c r="B22" i="54"/>
  <c r="B30" i="56"/>
  <c r="C32" i="58"/>
  <c r="E14" i="58"/>
  <c r="B16" i="60"/>
  <c r="B47" i="59"/>
  <c r="C20" i="61"/>
  <c r="B28" i="52"/>
  <c r="C37" i="50"/>
  <c r="C19" i="51"/>
  <c r="B16" i="51"/>
  <c r="C39" i="52"/>
  <c r="B2" i="53"/>
  <c r="C15" i="55"/>
  <c r="D8" i="56"/>
  <c r="E6" i="56"/>
  <c r="C42" i="55"/>
  <c r="D33" i="57"/>
  <c r="E32" i="60"/>
  <c r="C41" i="59"/>
  <c r="C42" i="61"/>
  <c r="B23" i="60"/>
  <c r="E4" i="52"/>
  <c r="C32" i="53"/>
  <c r="C45" i="50"/>
  <c r="C42" i="51"/>
  <c r="B16" i="52"/>
  <c r="B5" i="54"/>
  <c r="D18" i="53"/>
  <c r="C9" i="53"/>
  <c r="C8" i="55"/>
  <c r="C39" i="55"/>
  <c r="B44" i="57"/>
  <c r="B16" i="58"/>
  <c r="C33" i="61"/>
  <c r="B16" i="56"/>
  <c r="B30" i="57"/>
  <c r="C17" i="58"/>
  <c r="B30" i="58"/>
  <c r="E44" i="59"/>
  <c r="C30" i="58"/>
  <c r="B47" i="58"/>
  <c r="B18" i="60"/>
  <c r="C36" i="60"/>
  <c r="C15" i="52"/>
  <c r="E14" i="53"/>
  <c r="B25" i="53"/>
  <c r="D37" i="55"/>
  <c r="E22" i="55"/>
  <c r="B21" i="56"/>
  <c r="B35" i="56"/>
  <c r="B27" i="56"/>
  <c r="E21" i="60"/>
  <c r="C9" i="58"/>
  <c r="B27" i="58"/>
  <c r="C5" i="57"/>
  <c r="D18" i="61"/>
  <c r="B15" i="59"/>
  <c r="F12" i="61"/>
  <c r="C17" i="61"/>
  <c r="B29" i="52"/>
  <c r="E7" i="55"/>
  <c r="B11" i="55" s="1"/>
  <c r="D25" i="53"/>
  <c r="C10" i="54"/>
  <c r="B7" i="53"/>
  <c r="C20" i="55"/>
  <c r="C33" i="55"/>
  <c r="C18" i="57"/>
  <c r="B45" i="57"/>
  <c r="C45" i="60"/>
  <c r="B7" i="57"/>
  <c r="E31" i="58"/>
  <c r="B28" i="59"/>
  <c r="C47" i="60"/>
  <c r="C41" i="61"/>
  <c r="E31" i="61"/>
  <c r="AE41" i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D10" i="58" a="1"/>
  <c r="D9" i="50" a="1"/>
  <c r="E22" i="57" a="1"/>
  <c r="F12" i="58" a="1"/>
  <c r="D7" i="57" a="1"/>
  <c r="E33" i="61" a="1"/>
  <c r="D6" i="50" a="1"/>
  <c r="D19" i="59" a="1"/>
  <c r="E23" i="55" a="1"/>
  <c r="D34" i="59" a="1"/>
  <c r="E34" i="55" a="1"/>
  <c r="D7" i="51" a="1"/>
  <c r="D7" i="59" a="1"/>
  <c r="D27" i="57" a="1"/>
  <c r="D32" i="54" a="1"/>
  <c r="D18" i="54" a="1"/>
  <c r="E37" i="56" a="1"/>
  <c r="E16" i="52" a="1"/>
  <c r="E34" i="56" a="1"/>
  <c r="D38" i="52" a="1"/>
  <c r="D35" i="59" a="1"/>
  <c r="E15" i="57" a="1"/>
  <c r="E35" i="54" a="1"/>
  <c r="D28" i="61" a="1"/>
  <c r="E19" i="51" a="1"/>
  <c r="E40" i="58" a="1"/>
  <c r="D32" i="50" a="1"/>
  <c r="B2" i="60" a="1"/>
  <c r="D37" i="51" a="1"/>
  <c r="D12" i="57" a="1"/>
  <c r="D44" i="50" a="1"/>
  <c r="D6" i="56" a="1"/>
  <c r="D7" i="50" a="1"/>
  <c r="E27" i="61" a="1"/>
  <c r="E38" i="50" a="1"/>
  <c r="D18" i="59" a="1"/>
  <c r="E10" i="54" a="1"/>
  <c r="D7" i="53" a="1"/>
  <c r="F8" i="52" a="1"/>
  <c r="D28" i="54" a="1"/>
  <c r="F10" i="52" a="1"/>
  <c r="D9" i="60" a="1"/>
  <c r="D35" i="50" a="1"/>
  <c r="D30" i="58" a="1"/>
  <c r="D34" i="50" a="1"/>
  <c r="E35" i="59" a="1"/>
  <c r="D37" i="58" a="1"/>
  <c r="E10" i="50" a="1"/>
  <c r="E37" i="54" a="1"/>
  <c r="D18" i="51" a="1"/>
  <c r="E37" i="60" a="1"/>
  <c r="E35" i="56" a="1"/>
  <c r="E40" i="50" a="1"/>
  <c r="E15" i="61" a="1"/>
  <c r="E42" i="61" a="1"/>
  <c r="E23" i="51" a="1"/>
  <c r="E19" i="61" a="1"/>
  <c r="F7" i="52" a="1"/>
  <c r="E39" i="61" a="1"/>
  <c r="E10" i="56" a="1"/>
  <c r="D5" i="61" a="1"/>
  <c r="D27" i="54" a="1"/>
  <c r="D15" i="57" a="1"/>
  <c r="D16" i="58" a="1"/>
  <c r="D22" i="50" a="1"/>
  <c r="E17" i="55" a="1"/>
  <c r="F12" i="57" a="1"/>
  <c r="E27" i="56" a="1"/>
  <c r="E39" i="60" a="1"/>
  <c r="D6" i="55" a="1"/>
  <c r="E39" i="50" a="1"/>
  <c r="D38" i="54" a="1"/>
  <c r="D27" i="61" a="1"/>
  <c r="B2" i="56" a="1"/>
  <c r="E24" i="61" a="1"/>
  <c r="D27" i="60" a="1"/>
  <c r="D23" i="58" a="1"/>
  <c r="E26" i="59" a="1"/>
  <c r="E7" i="57" a="1"/>
  <c r="E7" i="40" a="1"/>
  <c r="C25" i="40" a="1"/>
  <c r="D44" i="40" a="1"/>
  <c r="D24" i="40" a="1"/>
  <c r="D13" i="51" a="1"/>
  <c r="B24" i="40" a="1"/>
  <c r="D11" i="40" a="1"/>
  <c r="D23" i="40" a="1"/>
  <c r="D25" i="40" a="1"/>
  <c r="D29" i="50" a="1"/>
  <c r="D13" i="52" a="1"/>
  <c r="C26" i="40" a="1"/>
  <c r="B9" i="40" a="1"/>
  <c r="D19" i="40" a="1"/>
  <c r="E12" i="40" a="1"/>
  <c r="C12" i="40" a="1"/>
  <c r="D41" i="53" a="1"/>
  <c r="E5" i="40" a="1"/>
  <c r="E26" i="40" a="1"/>
  <c r="B28" i="40" a="1"/>
  <c r="C30" i="40" a="1"/>
  <c r="C10" i="40" a="1"/>
  <c r="C6" i="40" a="1"/>
  <c r="E35" i="40" a="1"/>
  <c r="D13" i="57" a="1"/>
  <c r="D15" i="54" a="1"/>
  <c r="F11" i="52" a="1"/>
  <c r="D17" i="60" a="1"/>
  <c r="D25" i="52" a="1"/>
  <c r="E26" i="58" a="1"/>
  <c r="E25" i="50" a="1"/>
  <c r="D44" i="57" a="1"/>
  <c r="E28" i="61" a="1"/>
  <c r="E15" i="55" a="1"/>
  <c r="D37" i="54" a="1"/>
  <c r="D24" i="51" a="1"/>
  <c r="C13" i="40" a="1"/>
  <c r="D30" i="53" a="1"/>
  <c r="B2" i="40" a="1"/>
  <c r="F9" i="60" a="1"/>
  <c r="D11" i="50" a="1"/>
  <c r="E29" i="54" a="1"/>
  <c r="E33" i="52" a="1"/>
  <c r="D6" i="54" a="1"/>
  <c r="D36" i="52" a="1"/>
  <c r="F12" i="54" a="1"/>
  <c r="E22" i="54" a="1"/>
  <c r="E35" i="58" a="1"/>
  <c r="E10" i="52" a="1"/>
  <c r="D24" i="52" a="1"/>
  <c r="E35" i="51" a="1"/>
  <c r="D7" i="54" a="1"/>
  <c r="E32" i="61" a="1"/>
  <c r="E23" i="61" a="1"/>
  <c r="F7" i="53" a="1"/>
  <c r="D29" i="59" a="1"/>
  <c r="E25" i="60" a="1"/>
  <c r="E11" i="60" a="1"/>
  <c r="D18" i="55" a="1"/>
  <c r="E8" i="60" a="1"/>
  <c r="D16" i="60" a="1"/>
  <c r="E29" i="52" a="1"/>
  <c r="D10" i="60" a="1"/>
  <c r="D39" i="50" a="1"/>
  <c r="F8" i="57" a="1"/>
  <c r="D41" i="58" a="1"/>
  <c r="D7" i="60" a="1"/>
  <c r="D23" i="59" a="1"/>
  <c r="D9" i="58" a="1"/>
  <c r="F11" i="54" a="1"/>
  <c r="F8" i="51" a="1"/>
  <c r="E44" i="58" a="1"/>
  <c r="E35" i="60" a="1"/>
  <c r="E38" i="52" a="1"/>
  <c r="D5" i="51" a="1"/>
  <c r="E34" i="52" a="1"/>
  <c r="D40" i="52" a="1"/>
  <c r="F8" i="60" a="1"/>
  <c r="D25" i="50" a="1"/>
  <c r="D11" i="51" a="1"/>
  <c r="E29" i="61" a="1"/>
  <c r="E40" i="54" a="1"/>
  <c r="D18" i="60" a="1"/>
  <c r="E12" i="54" a="1"/>
  <c r="D33" i="61" a="1"/>
  <c r="D22" i="61" a="1"/>
  <c r="E25" i="59" a="1"/>
  <c r="D8" i="57" a="1"/>
  <c r="E16" i="57" a="1"/>
  <c r="D24" i="53" a="1"/>
  <c r="E17" i="52" a="1"/>
  <c r="E40" i="60" a="1"/>
  <c r="D6" i="60" a="1"/>
  <c r="D40" i="53" a="1"/>
  <c r="F10" i="60" a="1"/>
  <c r="D43" i="60" a="1"/>
  <c r="D16" i="50" a="1"/>
  <c r="E19" i="58" a="1"/>
  <c r="D15" i="52" a="1"/>
  <c r="D40" i="61" a="1"/>
  <c r="D28" i="52" a="1"/>
  <c r="E8" i="52" a="1"/>
  <c r="D42" i="58" a="1"/>
  <c r="D23" i="61" a="1"/>
  <c r="D22" i="52" a="1"/>
  <c r="E33" i="55" a="1"/>
  <c r="E33" i="56" a="1"/>
  <c r="D38" i="61" a="1"/>
  <c r="E8" i="56" a="1"/>
  <c r="D26" i="61" a="1"/>
  <c r="B2" i="50" a="1"/>
  <c r="F9" i="50" a="1"/>
  <c r="E23" i="50" a="1"/>
  <c r="E28" i="54" a="1"/>
  <c r="F8" i="56" a="1"/>
  <c r="D5" i="56" a="1"/>
  <c r="D44" i="54" a="1"/>
  <c r="D32" i="57" a="1"/>
  <c r="C23" i="40" a="1"/>
  <c r="D19" i="51" a="1"/>
  <c r="E40" i="40" a="1"/>
  <c r="E24" i="40" a="1"/>
  <c r="D20" i="54" a="1"/>
  <c r="B20" i="40" a="1"/>
  <c r="B32" i="40" a="1"/>
  <c r="E28" i="40" a="1"/>
  <c r="C22" i="40" a="1"/>
  <c r="C16" i="40" a="1"/>
  <c r="F7" i="40" a="1"/>
  <c r="B19" i="40" a="1"/>
  <c r="C34" i="40" a="1"/>
  <c r="D8" i="40" a="1"/>
  <c r="D20" i="56" a="1"/>
  <c r="B45" i="40" a="1"/>
  <c r="D20" i="55" a="1"/>
  <c r="D41" i="55" a="1"/>
  <c r="D6" i="40" a="1"/>
  <c r="B25" i="40" a="1"/>
  <c r="D19" i="52" a="1"/>
  <c r="D26" i="40" a="1"/>
  <c r="D13" i="40" a="1"/>
  <c r="C29" i="40" a="1"/>
  <c r="E18" i="55" a="1"/>
  <c r="E36" i="60" a="1"/>
  <c r="D26" i="51" a="1"/>
  <c r="E27" i="58" a="1"/>
  <c r="E24" i="60" a="1"/>
  <c r="F9" i="61" a="1"/>
  <c r="D32" i="51" a="1"/>
  <c r="E26" i="57" a="1"/>
  <c r="E26" i="61" a="1"/>
  <c r="D15" i="53" a="1"/>
  <c r="E24" i="57" a="1"/>
  <c r="D28" i="40" a="1"/>
  <c r="C11" i="40" a="1"/>
  <c r="D19" i="53" a="1"/>
  <c r="F12" i="40" a="1"/>
  <c r="D24" i="59" a="1"/>
  <c r="F9" i="52" a="1"/>
  <c r="E11" i="57" a="1"/>
  <c r="E39" i="57" a="1"/>
  <c r="D39" i="52" a="1"/>
  <c r="D28" i="58" a="1"/>
  <c r="E32" i="54" a="1"/>
  <c r="E10" i="61" a="1"/>
  <c r="E43" i="58" a="1"/>
  <c r="F9" i="56" a="1"/>
  <c r="E8" i="58" a="1"/>
  <c r="E34" i="54" a="1"/>
  <c r="D32" i="58" a="1"/>
  <c r="E33" i="60" a="1"/>
  <c r="F8" i="61" a="1"/>
  <c r="E24" i="52" a="1"/>
  <c r="E19" i="59" a="1"/>
  <c r="D12" i="56" a="1"/>
  <c r="E39" i="54" a="1"/>
  <c r="D44" i="59" a="1"/>
  <c r="E25" i="61" a="1"/>
  <c r="E18" i="60" a="1"/>
  <c r="D44" i="52" a="1"/>
  <c r="D35" i="61" a="1"/>
  <c r="F8" i="50" a="1"/>
  <c r="D34" i="60" a="1"/>
  <c r="D38" i="51" a="1"/>
  <c r="D11" i="61" a="1"/>
  <c r="D24" i="58" a="1"/>
  <c r="E5" i="56" a="1"/>
  <c r="F8" i="54" a="1"/>
  <c r="D44" i="51" a="1"/>
  <c r="D29" i="60" a="1"/>
  <c r="D36" i="54" a="1"/>
  <c r="D20" i="60" a="1"/>
  <c r="D30" i="59" a="1"/>
  <c r="E15" i="52" a="1"/>
  <c r="D20" i="59" a="1"/>
  <c r="E7" i="59" a="1"/>
  <c r="E12" i="57" a="1"/>
  <c r="F12" i="56" a="1"/>
  <c r="E11" i="61" a="1"/>
  <c r="E24" i="55" a="1"/>
  <c r="D17" i="59" a="1"/>
  <c r="D10" i="59" a="1"/>
  <c r="D39" i="58" a="1"/>
  <c r="E40" i="57" a="1"/>
  <c r="E17" i="54" a="1"/>
  <c r="E12" i="60" a="1"/>
  <c r="D42" i="60" a="1"/>
  <c r="E18" i="61" a="1"/>
  <c r="E11" i="55" a="1"/>
  <c r="D15" i="58" a="1"/>
  <c r="E9" i="55" a="1"/>
  <c r="E37" i="59" a="1"/>
  <c r="E6" i="54" a="1"/>
  <c r="D11" i="55" a="1"/>
  <c r="E18" i="58" a="1"/>
  <c r="D42" i="61" a="1"/>
  <c r="D40" i="57" a="1"/>
  <c r="D22" i="55" a="1"/>
  <c r="D12" i="58" a="1"/>
  <c r="D33" i="55" a="1"/>
  <c r="E19" i="50" a="1"/>
  <c r="E38" i="55" a="1"/>
  <c r="D23" i="50" a="1"/>
  <c r="E11" i="56" a="1"/>
  <c r="D23" i="57" a="1"/>
  <c r="D9" i="55" a="1"/>
  <c r="E15" i="60" a="1"/>
  <c r="E28" i="57" a="1"/>
  <c r="E17" i="57" a="1"/>
  <c r="E9" i="56" a="1"/>
  <c r="B2" i="54" a="1"/>
  <c r="E12" i="50" a="1"/>
  <c r="E27" i="55" a="1"/>
  <c r="D37" i="56" a="1"/>
  <c r="E8" i="61" a="1"/>
  <c r="E16" i="50" a="1"/>
  <c r="E25" i="52" a="1"/>
  <c r="E18" i="52" a="1"/>
  <c r="D30" i="55" a="1"/>
  <c r="E31" i="40" a="1"/>
  <c r="D35" i="40" a="1"/>
  <c r="C41" i="40" a="1"/>
  <c r="B5" i="40" a="1"/>
  <c r="B42" i="40" a="1"/>
  <c r="B44" i="40" a="1"/>
  <c r="E29" i="40" a="1"/>
  <c r="B40" i="40" a="1"/>
  <c r="D29" i="54" a="1"/>
  <c r="D37" i="40" a="1"/>
  <c r="D20" i="51" a="1"/>
  <c r="D27" i="40" a="1"/>
  <c r="E15" i="40" a="1"/>
  <c r="B38" i="40" a="1"/>
  <c r="E16" i="40" a="1"/>
  <c r="E6" i="40" a="1"/>
  <c r="B39" i="40" a="1"/>
  <c r="D18" i="40" a="1"/>
  <c r="D29" i="52" a="1"/>
  <c r="C40" i="40" a="1"/>
  <c r="B29" i="40" a="1"/>
  <c r="D41" i="51" a="1"/>
  <c r="D30" i="56" a="1"/>
  <c r="D19" i="55" a="1"/>
  <c r="D39" i="59" a="1"/>
  <c r="D23" i="51" a="1"/>
  <c r="D22" i="51" a="1"/>
  <c r="D36" i="53" a="1"/>
  <c r="F10" i="61" a="1"/>
  <c r="F10" i="53" a="1"/>
  <c r="D8" i="59" a="1"/>
  <c r="E10" i="58" a="1"/>
  <c r="D26" i="56" a="1"/>
  <c r="E29" i="60" a="1"/>
  <c r="E17" i="58" a="1"/>
  <c r="E34" i="61" a="1"/>
  <c r="B47" i="40" a="1"/>
  <c r="E10" i="40" a="1"/>
  <c r="D20" i="53" a="1"/>
  <c r="E38" i="54" a="1"/>
  <c r="D33" i="59" a="1"/>
  <c r="D37" i="52" a="1"/>
  <c r="D35" i="57" a="1"/>
  <c r="D9" i="51" a="1"/>
  <c r="E9" i="60" a="1"/>
  <c r="D35" i="52" a="1"/>
  <c r="D26" i="52" a="1"/>
  <c r="D44" i="61" a="1"/>
  <c r="D10" i="50" a="1"/>
  <c r="E32" i="58" a="1"/>
  <c r="E24" i="58" a="1"/>
  <c r="D28" i="50" a="1"/>
  <c r="D11" i="59" a="1"/>
  <c r="E38" i="60" a="1"/>
  <c r="E32" i="50" a="1"/>
  <c r="D27" i="51" a="1"/>
  <c r="D32" i="56" a="1"/>
  <c r="E17" i="51" a="1"/>
  <c r="E11" i="54" a="1"/>
  <c r="D34" i="57" a="1"/>
  <c r="F12" i="59" a="1"/>
  <c r="E10" i="60" a="1"/>
  <c r="E19" i="60" a="1"/>
  <c r="D25" i="57" a="1"/>
  <c r="E25" i="56" a="1"/>
  <c r="E17" i="50" a="1"/>
  <c r="E9" i="50" a="1"/>
  <c r="E12" i="55" a="1"/>
  <c r="E7" i="60" a="1"/>
  <c r="D35" i="56" a="1"/>
  <c r="E27" i="50" a="1"/>
  <c r="E10" i="51" a="1"/>
  <c r="D33" i="52" a="1"/>
  <c r="D25" i="51" a="1"/>
  <c r="D16" i="51" a="1"/>
  <c r="D22" i="54" a="1"/>
  <c r="E26" i="52" a="1"/>
  <c r="D25" i="58" a="1"/>
  <c r="E22" i="61" a="1"/>
  <c r="D26" i="57" a="1"/>
  <c r="E12" i="56" a="1"/>
  <c r="D17" i="50" a="1"/>
  <c r="E5" i="54" a="1"/>
  <c r="D27" i="58" a="1"/>
  <c r="D40" i="51" a="1"/>
  <c r="E32" i="56" a="1"/>
  <c r="E27" i="54" a="1"/>
  <c r="F8" i="53" a="1"/>
  <c r="D16" i="54" a="1"/>
  <c r="E22" i="58" a="1"/>
  <c r="E32" i="52" a="1"/>
  <c r="E22" i="59" a="1"/>
  <c r="E8" i="57" a="1"/>
  <c r="D32" i="59" a="1"/>
  <c r="D34" i="56" a="1"/>
  <c r="D36" i="61" a="1"/>
  <c r="D7" i="61" a="1"/>
  <c r="E36" i="56" a="1"/>
  <c r="F12" i="50" a="1"/>
  <c r="E15" i="54" a="1"/>
  <c r="D10" i="56" a="1"/>
  <c r="D24" i="61" a="1"/>
  <c r="E23" i="57" a="1"/>
  <c r="D9" i="53" a="1"/>
  <c r="D32" i="52" a="1"/>
  <c r="E34" i="60" a="1"/>
  <c r="F10" i="50" a="1"/>
  <c r="D10" i="61" a="1"/>
  <c r="D11" i="54" a="1"/>
  <c r="D18" i="58" a="1"/>
  <c r="E24" i="54" a="1"/>
  <c r="E28" i="58" a="1"/>
  <c r="E32" i="51" a="1"/>
  <c r="D38" i="56" a="1"/>
  <c r="F10" i="55" a="1"/>
  <c r="D13" i="61" a="1"/>
  <c r="D33" i="58" a="1"/>
  <c r="D19" i="56" a="1"/>
  <c r="C36" i="40" a="1"/>
  <c r="D7" i="40" a="1"/>
  <c r="D41" i="56" a="1"/>
  <c r="F9" i="40" a="1"/>
  <c r="D19" i="54" a="1"/>
  <c r="D20" i="50" a="1"/>
  <c r="E17" i="40" a="1"/>
  <c r="F8" i="40" a="1"/>
  <c r="B26" i="40" a="1"/>
  <c r="D29" i="53" a="1"/>
  <c r="D22" i="40" a="1"/>
  <c r="C9" i="40" a="1"/>
  <c r="D13" i="54" a="1"/>
  <c r="D30" i="40" a="1"/>
  <c r="D34" i="40" a="1"/>
  <c r="D9" i="40" a="1"/>
  <c r="E39" i="40" a="1"/>
  <c r="C35" i="40" a="1"/>
  <c r="E34" i="40" a="1"/>
  <c r="B22" i="40" a="1"/>
  <c r="B13" i="40" a="1"/>
  <c r="D20" i="40" a="1"/>
  <c r="D30" i="51" a="1"/>
  <c r="D17" i="40" a="1"/>
  <c r="D39" i="40" a="1"/>
  <c r="D23" i="55" a="1"/>
  <c r="E33" i="59" a="1"/>
  <c r="D13" i="60" a="1"/>
  <c r="D24" i="57" a="1"/>
  <c r="E4" i="60" a="1"/>
  <c r="E28" i="51" a="1"/>
  <c r="E36" i="61" a="1"/>
  <c r="D38" i="50" a="1"/>
  <c r="D6" i="51" a="1"/>
  <c r="E28" i="50" a="1"/>
  <c r="E29" i="56" a="1"/>
  <c r="D30" i="57" a="1"/>
  <c r="C17" i="40" a="1"/>
  <c r="C47" i="40" a="1"/>
  <c r="D41" i="54" a="1"/>
  <c r="D36" i="56" a="1"/>
  <c r="E16" i="58" a="1"/>
  <c r="E24" i="50" a="1"/>
  <c r="D30" i="60" a="1"/>
  <c r="D36" i="50" a="1"/>
  <c r="E37" i="57" a="1"/>
  <c r="E38" i="61" a="1"/>
  <c r="E16" i="51" a="1"/>
  <c r="E37" i="50" a="1"/>
  <c r="D44" i="53" a="1"/>
  <c r="D10" i="57" a="1"/>
  <c r="D32" i="55" a="1"/>
  <c r="D25" i="60" a="1"/>
  <c r="D6" i="61" a="1"/>
  <c r="D25" i="54" a="1"/>
  <c r="D9" i="57" a="1"/>
  <c r="E36" i="54" a="1"/>
  <c r="E25" i="54" a="1"/>
  <c r="D40" i="50" a="1"/>
  <c r="E17" i="61" a="1"/>
  <c r="E34" i="59" a="1"/>
  <c r="D44" i="60" a="1"/>
  <c r="D28" i="59" a="1"/>
  <c r="F9" i="54" a="1"/>
  <c r="E8" i="50" a="1"/>
  <c r="D10" i="53" a="1"/>
  <c r="E22" i="52" a="1"/>
  <c r="D5" i="54" a="1"/>
  <c r="E12" i="52" a="1"/>
  <c r="E23" i="56" a="1"/>
  <c r="E43" i="61" a="1"/>
  <c r="E26" i="56" a="1"/>
  <c r="D35" i="58" a="1"/>
  <c r="E6" i="52" a="1"/>
  <c r="D11" i="57" a="1"/>
  <c r="E11" i="58" a="1"/>
  <c r="E34" i="50" a="1"/>
  <c r="E19" i="54" a="1"/>
  <c r="D8" i="53" a="1"/>
  <c r="F8" i="59" a="1"/>
  <c r="D18" i="50" a="1"/>
  <c r="E7" i="54" a="1"/>
  <c r="E36" i="52" a="1"/>
  <c r="D36" i="55" a="1"/>
  <c r="D27" i="52" a="1"/>
  <c r="D12" i="54" a="1"/>
  <c r="F11" i="56" a="1"/>
  <c r="E8" i="51" a="1"/>
  <c r="D37" i="60" a="1"/>
  <c r="F11" i="59" a="1"/>
  <c r="E5" i="52" a="1"/>
  <c r="D27" i="55" a="1"/>
  <c r="D40" i="54" a="1"/>
  <c r="E9" i="54" a="1"/>
  <c r="B52" i="60"/>
  <c r="B52" i="59"/>
  <c r="D34" i="54" a="1"/>
  <c r="D40" i="55" a="1"/>
  <c r="F9" i="51" a="1"/>
  <c r="E18" i="54" a="1"/>
  <c r="E9" i="52" a="1"/>
  <c r="E23" i="60" a="1"/>
  <c r="D44" i="58" a="1"/>
  <c r="D39" i="54" a="1"/>
  <c r="E37" i="61" a="1"/>
  <c r="D26" i="55" a="1"/>
  <c r="E38" i="56" a="1"/>
  <c r="E4" i="59" a="1"/>
  <c r="D5" i="50" a="1"/>
  <c r="E33" i="50" a="1"/>
  <c r="D11" i="52" a="1"/>
  <c r="D29" i="61" a="1"/>
  <c r="E36" i="50" a="1"/>
  <c r="D26" i="50" a="1"/>
  <c r="D20" i="58" a="1"/>
  <c r="D33" i="50" a="1"/>
  <c r="D23" i="56" a="1"/>
  <c r="D36" i="58" a="1"/>
  <c r="E11" i="40" a="1"/>
  <c r="D41" i="52" a="1"/>
  <c r="C5" i="40" a="1"/>
  <c r="D30" i="52" a="1"/>
  <c r="E37" i="40" a="1"/>
  <c r="D19" i="50" a="1"/>
  <c r="B6" i="40" a="1"/>
  <c r="D5" i="40" a="1"/>
  <c r="E33" i="40" a="1"/>
  <c r="C7" i="40" a="1"/>
  <c r="B14" i="40" a="1"/>
  <c r="D13" i="55" a="1"/>
  <c r="C19" i="40" a="1"/>
  <c r="F11" i="40" a="1"/>
  <c r="D10" i="40" a="1"/>
  <c r="E14" i="40" a="1"/>
  <c r="C39" i="40" a="1"/>
  <c r="B37" i="40" a="1"/>
  <c r="E4" i="40" a="1"/>
  <c r="E38" i="40" a="1"/>
  <c r="B23" i="40" a="1"/>
  <c r="D29" i="57" a="1"/>
  <c r="B27" i="40" a="1"/>
  <c r="D29" i="51" a="1"/>
  <c r="B15" i="40" a="1"/>
  <c r="B35" i="40" a="1"/>
  <c r="D28" i="57" a="1"/>
  <c r="E23" i="59" a="1"/>
  <c r="D43" i="61" a="1"/>
  <c r="D5" i="60" a="1"/>
  <c r="E18" i="50" a="1"/>
  <c r="D17" i="58" a="1"/>
  <c r="E25" i="57" a="1"/>
  <c r="D37" i="50" a="1"/>
  <c r="B2" i="58" a="1"/>
  <c r="D28" i="60" a="1"/>
  <c r="D24" i="50" a="1"/>
  <c r="D20" i="57" a="1"/>
  <c r="B17" i="40" a="1"/>
  <c r="F10" i="40" a="1"/>
  <c r="B16" i="40" a="1"/>
  <c r="E23" i="54" a="1"/>
  <c r="E15" i="59" a="1"/>
  <c r="E40" i="61" a="1"/>
  <c r="F7" i="57" a="1"/>
  <c r="E42" i="60" a="1"/>
  <c r="D32" i="61" a="1"/>
  <c r="E5" i="60" a="1"/>
  <c r="E22" i="50" a="1"/>
  <c r="F9" i="53" a="1"/>
  <c r="D19" i="58" a="1"/>
  <c r="B2" i="55" a="1"/>
  <c r="F7" i="61" a="1"/>
  <c r="D26" i="54" a="1"/>
  <c r="D37" i="61" a="1"/>
  <c r="D8" i="50" a="1"/>
  <c r="D22" i="60" a="1"/>
  <c r="E25" i="51" a="1"/>
  <c r="F10" i="59" a="1"/>
  <c r="E27" i="52" a="1"/>
  <c r="E9" i="51" a="1"/>
  <c r="D5" i="52" a="1"/>
  <c r="E22" i="60" a="1"/>
  <c r="D6" i="52" a="1"/>
  <c r="E26" i="54" a="1"/>
  <c r="E36" i="51" a="1"/>
  <c r="D24" i="54" a="1"/>
  <c r="F7" i="58" a="1"/>
  <c r="E43" i="60" a="1"/>
  <c r="F10" i="56" a="1"/>
  <c r="E24" i="59" a="1"/>
  <c r="E16" i="61" a="1"/>
  <c r="E6" i="60" a="1"/>
  <c r="E4" i="54" a="1"/>
  <c r="D38" i="58" a="1"/>
  <c r="E15" i="51" a="1"/>
  <c r="D44" i="56" a="1"/>
  <c r="D7" i="56" a="1"/>
  <c r="E5" i="59" a="1"/>
  <c r="D12" i="50" a="1"/>
  <c r="E39" i="56" a="1"/>
  <c r="E19" i="55" a="1"/>
  <c r="D7" i="52" a="1"/>
  <c r="D39" i="56" a="1"/>
  <c r="D12" i="52" a="1"/>
  <c r="F11" i="53" a="1"/>
  <c r="E9" i="57" a="1"/>
  <c r="D35" i="54" a="1"/>
  <c r="D17" i="52" a="1"/>
  <c r="D12" i="61" a="1"/>
  <c r="E9" i="58" a="1"/>
  <c r="D23" i="60" a="1"/>
  <c r="E33" i="57" a="1"/>
  <c r="E35" i="50" a="1"/>
  <c r="F12" i="60" a="1"/>
  <c r="D25" i="61" a="1"/>
  <c r="E25" i="58" a="1"/>
  <c r="E37" i="55" a="1"/>
  <c r="D39" i="61" a="1"/>
  <c r="D18" i="52" a="1"/>
  <c r="D17" i="61" a="1"/>
  <c r="E11" i="51" a="1"/>
  <c r="D34" i="61" a="1"/>
  <c r="D9" i="61" a="1"/>
  <c r="D24" i="60" a="1"/>
  <c r="D28" i="51" a="1"/>
  <c r="E33" i="54" a="1"/>
  <c r="D5" i="57" a="1"/>
  <c r="E28" i="56" a="1"/>
  <c r="E9" i="61" a="1"/>
  <c r="D9" i="52" a="1"/>
  <c r="E42" i="59" a="1"/>
  <c r="F12" i="53" a="1"/>
  <c r="E8" i="53" a="1"/>
  <c r="B2" i="57" a="1"/>
  <c r="E42" i="58" a="1"/>
  <c r="B2" i="51" a="1"/>
  <c r="E28" i="60" a="1"/>
  <c r="E26" i="50" a="1"/>
  <c r="B12" i="40" a="1"/>
  <c r="C28" i="40" a="1"/>
  <c r="B30" i="40" a="1"/>
  <c r="C33" i="40" a="1"/>
  <c r="C8" i="40" a="1"/>
  <c r="B7" i="40" a="1"/>
  <c r="D33" i="40" a="1"/>
  <c r="E8" i="40" a="1"/>
  <c r="D41" i="40" a="1"/>
  <c r="D20" i="52" a="1"/>
  <c r="D36" i="40" a="1"/>
  <c r="C32" i="40" a="1"/>
  <c r="B18" i="40" a="1"/>
  <c r="C37" i="40" a="1"/>
  <c r="D13" i="56" a="1"/>
  <c r="B8" i="40" a="1"/>
  <c r="C24" i="40" a="1"/>
  <c r="C38" i="40" a="1"/>
  <c r="D12" i="40" a="1"/>
  <c r="C27" i="40" a="1"/>
  <c r="E19" i="40" a="1"/>
  <c r="B36" i="40" a="1"/>
  <c r="D8" i="55" a="1"/>
  <c r="D44" i="55" a="1"/>
  <c r="E19" i="52" a="1"/>
  <c r="E34" i="58" a="1"/>
  <c r="D34" i="51" a="1"/>
  <c r="E5" i="51" a="1"/>
  <c r="D30" i="61" a="1"/>
  <c r="D22" i="57" a="1"/>
  <c r="E28" i="52" a="1"/>
  <c r="D32" i="60" a="1"/>
  <c r="D30" i="50" a="1"/>
  <c r="E23" i="40" a="1"/>
  <c r="E27" i="40" a="1"/>
  <c r="E36" i="59" a="1"/>
  <c r="E34" i="51" a="1"/>
  <c r="D33" i="60" a="1"/>
  <c r="E16" i="54" a="1"/>
  <c r="E36" i="58" a="1"/>
  <c r="D6" i="53" a="1"/>
  <c r="D27" i="53" a="1"/>
  <c r="E17" i="60" a="1"/>
  <c r="D40" i="56" a="1"/>
  <c r="E11" i="50" a="1"/>
  <c r="D35" i="60" a="1"/>
  <c r="D33" i="54" a="1"/>
  <c r="D24" i="55" a="1"/>
  <c r="E40" i="52" a="1"/>
  <c r="E35" i="52" a="1"/>
  <c r="D27" i="50" a="1"/>
  <c r="E7" i="56" a="1"/>
  <c r="E40" i="56" a="1"/>
  <c r="D6" i="57" a="1"/>
  <c r="D22" i="58" a="1"/>
  <c r="E23" i="58" a="1"/>
  <c r="E16" i="56" a="1"/>
  <c r="D38" i="53" a="1"/>
  <c r="D17" i="56" a="1"/>
  <c r="E11" i="52" a="1"/>
  <c r="D40" i="60" a="1"/>
  <c r="E23" i="52" a="1"/>
  <c r="D40" i="59" a="1"/>
  <c r="D37" i="57" a="1"/>
  <c r="E27" i="60" a="1"/>
  <c r="F7" i="50" a="1"/>
  <c r="E40" i="51" a="1"/>
  <c r="E22" i="56" a="1"/>
  <c r="D11" i="58" a="1"/>
  <c r="B2" i="52" a="1"/>
  <c r="D15" i="56" a="1"/>
  <c r="E10" i="57" a="1"/>
  <c r="E12" i="61" a="1"/>
  <c r="D10" i="55" a="1"/>
  <c r="D26" i="60" a="1"/>
  <c r="D34" i="53" a="1"/>
  <c r="B52" i="58"/>
  <c r="D36" i="51" a="1"/>
  <c r="E6" i="59" a="1"/>
  <c r="D23" i="52" a="1"/>
  <c r="B2" i="61" a="1"/>
  <c r="D20" i="61" a="1"/>
  <c r="E38" i="51" a="1"/>
  <c r="E39" i="52" a="1"/>
  <c r="D23" i="54" a="1"/>
  <c r="E10" i="55" a="1"/>
  <c r="E18" i="57" a="1"/>
  <c r="D28" i="56" a="1"/>
  <c r="E24" i="56" a="1"/>
  <c r="D9" i="54" a="1"/>
  <c r="D15" i="50" a="1"/>
  <c r="D33" i="56" a="1"/>
  <c r="D34" i="52" a="1"/>
  <c r="E35" i="61" a="1"/>
  <c r="E29" i="50" a="1"/>
  <c r="D41" i="59" a="1"/>
  <c r="E15" i="50" a="1"/>
  <c r="E44" i="60" a="1"/>
  <c r="D34" i="58" a="1"/>
  <c r="D10" i="54" a="1"/>
  <c r="E29" i="51" a="1"/>
  <c r="D41" i="60" a="1"/>
  <c r="D43" i="58" a="1"/>
  <c r="E28" i="55" a="1"/>
  <c r="E34" i="57" a="1"/>
  <c r="D28" i="55" a="1"/>
  <c r="E15" i="58" a="1"/>
  <c r="D8" i="60" a="1"/>
  <c r="E29" i="58" a="1"/>
  <c r="E19" i="57" a="1"/>
  <c r="E37" i="52" a="1"/>
  <c r="D25" i="55" a="1"/>
  <c r="E33" i="58" a="1"/>
  <c r="E18" i="51" a="1"/>
  <c r="D29" i="55" a="1"/>
  <c r="E21" i="40" a="1"/>
  <c r="D38" i="40" a="1"/>
  <c r="E22" i="40" a="1"/>
  <c r="D19" i="57" a="1"/>
  <c r="D16" i="40" a="1"/>
  <c r="D13" i="50" a="1"/>
  <c r="C20" i="40" a="1"/>
  <c r="B43" i="40" a="1"/>
  <c r="D15" i="40" a="1"/>
  <c r="E9" i="40" a="1"/>
  <c r="E36" i="40" a="1"/>
  <c r="E18" i="40" a="1"/>
  <c r="B46" i="40" a="1"/>
  <c r="D40" i="40" a="1"/>
  <c r="B33" i="40" a="1"/>
  <c r="B31" i="40" a="1"/>
  <c r="D13" i="53" a="1"/>
  <c r="D29" i="40" a="1"/>
  <c r="C18" i="40" a="1"/>
  <c r="B34" i="40" a="1"/>
  <c r="D30" i="54" a="1"/>
  <c r="E25" i="40" a="1"/>
  <c r="B21" i="40" a="1"/>
  <c r="D29" i="56" a="1"/>
  <c r="D17" i="54" a="1"/>
  <c r="D39" i="51" a="1"/>
  <c r="D17" i="57" a="1"/>
  <c r="E37" i="58" a="1"/>
  <c r="D40" i="58" a="1"/>
  <c r="E27" i="51" a="1"/>
  <c r="F11" i="60" a="1"/>
  <c r="E16" i="55" a="1"/>
  <c r="D22" i="59" a="1"/>
  <c r="D41" i="61" a="1"/>
  <c r="E44" i="61" a="1"/>
  <c r="C15" i="40" a="1"/>
  <c r="D41" i="50" a="1"/>
  <c r="D41" i="57" a="1"/>
  <c r="E18" i="52" l="1"/>
  <c r="E34" i="61"/>
  <c r="D32" i="57"/>
  <c r="E7" i="57"/>
  <c r="B11" i="57" s="1"/>
  <c r="E18" i="51"/>
  <c r="E26" i="50"/>
  <c r="D36" i="58"/>
  <c r="D33" i="58"/>
  <c r="E25" i="52"/>
  <c r="D24" i="50"/>
  <c r="D44" i="54"/>
  <c r="E26" i="59"/>
  <c r="E33" i="58"/>
  <c r="E28" i="60"/>
  <c r="D23" i="56"/>
  <c r="D13" i="61"/>
  <c r="E16" i="50"/>
  <c r="E44" i="61"/>
  <c r="D5" i="56"/>
  <c r="D23" i="58"/>
  <c r="D25" i="55"/>
  <c r="B2" i="51"/>
  <c r="D33" i="50"/>
  <c r="F10" i="55"/>
  <c r="E8" i="61"/>
  <c r="D32" i="60"/>
  <c r="F8" i="56"/>
  <c r="D27" i="60"/>
  <c r="E37" i="52"/>
  <c r="E42" i="58"/>
  <c r="D20" i="58"/>
  <c r="D38" i="56"/>
  <c r="D37" i="56"/>
  <c r="E29" i="56"/>
  <c r="E28" i="54"/>
  <c r="E24" i="61"/>
  <c r="E19" i="57"/>
  <c r="B2" i="57"/>
  <c r="D26" i="50"/>
  <c r="E32" i="51"/>
  <c r="E27" i="55"/>
  <c r="D24" i="51"/>
  <c r="E23" i="50"/>
  <c r="B2" i="56"/>
  <c r="E29" i="58"/>
  <c r="E8" i="53"/>
  <c r="E36" i="50"/>
  <c r="E28" i="58"/>
  <c r="E12" i="50"/>
  <c r="E24" i="57"/>
  <c r="F9" i="50"/>
  <c r="D27" i="61"/>
  <c r="D8" i="60"/>
  <c r="F12" i="53"/>
  <c r="D29" i="61"/>
  <c r="E24" i="54"/>
  <c r="B2" i="54"/>
  <c r="E17" i="58"/>
  <c r="B2" i="50"/>
  <c r="D38" i="54"/>
  <c r="E15" i="58"/>
  <c r="E42" i="59"/>
  <c r="D11" i="52"/>
  <c r="D18" i="58"/>
  <c r="E9" i="56"/>
  <c r="D37" i="54"/>
  <c r="D26" i="61"/>
  <c r="E39" i="50"/>
  <c r="D28" i="55"/>
  <c r="D9" i="52"/>
  <c r="E33" i="50"/>
  <c r="D11" i="54"/>
  <c r="E17" i="57"/>
  <c r="D28" i="60"/>
  <c r="E8" i="56"/>
  <c r="D6" i="55"/>
  <c r="E34" i="57"/>
  <c r="E9" i="61"/>
  <c r="D5" i="50"/>
  <c r="D10" i="61"/>
  <c r="E28" i="57"/>
  <c r="E28" i="50"/>
  <c r="D38" i="61"/>
  <c r="E39" i="60"/>
  <c r="E28" i="55"/>
  <c r="E28" i="56"/>
  <c r="E4" i="59"/>
  <c r="F10" i="50"/>
  <c r="E15" i="60"/>
  <c r="D41" i="61"/>
  <c r="E33" i="56"/>
  <c r="E27" i="56"/>
  <c r="D43" i="58"/>
  <c r="D5" i="57"/>
  <c r="E38" i="56"/>
  <c r="E34" i="60"/>
  <c r="D9" i="55"/>
  <c r="E28" i="52"/>
  <c r="E33" i="55"/>
  <c r="F12" i="57"/>
  <c r="D41" i="60"/>
  <c r="E33" i="54"/>
  <c r="D26" i="55"/>
  <c r="D32" i="52"/>
  <c r="D23" i="57"/>
  <c r="E29" i="60"/>
  <c r="D22" i="52"/>
  <c r="E17" i="55"/>
  <c r="E29" i="51"/>
  <c r="D28" i="51"/>
  <c r="E37" i="61"/>
  <c r="D9" i="53"/>
  <c r="E11" i="56"/>
  <c r="D15" i="53"/>
  <c r="D23" i="61"/>
  <c r="D22" i="50"/>
  <c r="D10" i="54"/>
  <c r="D24" i="60"/>
  <c r="D39" i="54"/>
  <c r="E23" i="57"/>
  <c r="D23" i="50"/>
  <c r="E15" i="55"/>
  <c r="D42" i="58"/>
  <c r="D16" i="58"/>
  <c r="D34" i="58"/>
  <c r="D9" i="61"/>
  <c r="D44" i="58"/>
  <c r="D24" i="61"/>
  <c r="E38" i="55"/>
  <c r="D6" i="51"/>
  <c r="E8" i="52"/>
  <c r="D15" i="57"/>
  <c r="E44" i="60"/>
  <c r="D34" i="61"/>
  <c r="E23" i="60"/>
  <c r="D10" i="56"/>
  <c r="E19" i="50"/>
  <c r="B2" i="58"/>
  <c r="D28" i="52"/>
  <c r="D27" i="54"/>
  <c r="E15" i="50"/>
  <c r="E11" i="51"/>
  <c r="E9" i="52"/>
  <c r="E15" i="54"/>
  <c r="D33" i="55"/>
  <c r="D22" i="59"/>
  <c r="D40" i="61"/>
  <c r="D5" i="61"/>
  <c r="D41" i="59"/>
  <c r="D17" i="61"/>
  <c r="E18" i="54"/>
  <c r="F12" i="50"/>
  <c r="D12" i="58"/>
  <c r="D22" i="57"/>
  <c r="D15" i="52"/>
  <c r="E10" i="56"/>
  <c r="E29" i="50"/>
  <c r="D18" i="52"/>
  <c r="F9" i="51"/>
  <c r="E36" i="56"/>
  <c r="D22" i="55"/>
  <c r="E26" i="61"/>
  <c r="E19" i="58"/>
  <c r="E39" i="61"/>
  <c r="E35" i="61"/>
  <c r="D39" i="61"/>
  <c r="D40" i="55"/>
  <c r="D7" i="61"/>
  <c r="D40" i="57"/>
  <c r="D26" i="56"/>
  <c r="D16" i="50"/>
  <c r="F7" i="52"/>
  <c r="D34" i="52"/>
  <c r="E37" i="55"/>
  <c r="D34" i="54"/>
  <c r="D36" i="61"/>
  <c r="D42" i="61"/>
  <c r="E28" i="61"/>
  <c r="D43" i="60"/>
  <c r="E19" i="61"/>
  <c r="D33" i="56"/>
  <c r="E25" i="58"/>
  <c r="D34" i="56"/>
  <c r="E18" i="58"/>
  <c r="D38" i="50"/>
  <c r="F10" i="60"/>
  <c r="E23" i="51"/>
  <c r="D15" i="50"/>
  <c r="D25" i="61"/>
  <c r="D32" i="59"/>
  <c r="D11" i="55"/>
  <c r="D37" i="50"/>
  <c r="D40" i="53"/>
  <c r="E42" i="61"/>
  <c r="D9" i="54"/>
  <c r="F12" i="60"/>
  <c r="E9" i="54"/>
  <c r="E8" i="57"/>
  <c r="E6" i="54"/>
  <c r="E16" i="55"/>
  <c r="D6" i="60"/>
  <c r="E15" i="61"/>
  <c r="E24" i="56"/>
  <c r="E35" i="50"/>
  <c r="D40" i="54"/>
  <c r="E22" i="59"/>
  <c r="E37" i="59"/>
  <c r="E26" i="57"/>
  <c r="E40" i="60"/>
  <c r="E40" i="50"/>
  <c r="D28" i="56"/>
  <c r="E33" i="57"/>
  <c r="D27" i="55"/>
  <c r="E32" i="52"/>
  <c r="E9" i="55"/>
  <c r="D30" i="61"/>
  <c r="E17" i="52"/>
  <c r="E35" i="56"/>
  <c r="E18" i="57"/>
  <c r="D23" i="60"/>
  <c r="E5" i="52"/>
  <c r="E22" i="58"/>
  <c r="D15" i="58"/>
  <c r="E10" i="58"/>
  <c r="D24" i="53"/>
  <c r="E37" i="60"/>
  <c r="E10" i="55"/>
  <c r="E9" i="58"/>
  <c r="F11" i="59"/>
  <c r="D16" i="54"/>
  <c r="E11" i="55"/>
  <c r="E36" i="61"/>
  <c r="E16" i="57"/>
  <c r="D18" i="51"/>
  <c r="D23" i="54"/>
  <c r="D12" i="61"/>
  <c r="D37" i="60"/>
  <c r="F8" i="53"/>
  <c r="E18" i="61"/>
  <c r="D44" i="57"/>
  <c r="D8" i="57"/>
  <c r="E37" i="54"/>
  <c r="E39" i="52"/>
  <c r="D17" i="52"/>
  <c r="E8" i="51"/>
  <c r="E27" i="54"/>
  <c r="D42" i="60"/>
  <c r="D32" i="51"/>
  <c r="E25" i="59"/>
  <c r="E10" i="50"/>
  <c r="E38" i="51"/>
  <c r="D35" i="54"/>
  <c r="F11" i="56"/>
  <c r="E32" i="56"/>
  <c r="E12" i="60"/>
  <c r="E25" i="57"/>
  <c r="D22" i="61"/>
  <c r="D37" i="58"/>
  <c r="D20" i="61"/>
  <c r="E9" i="57"/>
  <c r="D12" i="54"/>
  <c r="D40" i="51"/>
  <c r="E17" i="54"/>
  <c r="F11" i="60"/>
  <c r="D33" i="61"/>
  <c r="E35" i="59"/>
  <c r="B2" i="61"/>
  <c r="F11" i="53"/>
  <c r="D27" i="52"/>
  <c r="D27" i="58"/>
  <c r="E40" i="57"/>
  <c r="E5" i="51"/>
  <c r="E12" i="54"/>
  <c r="D34" i="50"/>
  <c r="D23" i="52"/>
  <c r="D12" i="52"/>
  <c r="D36" i="55"/>
  <c r="E5" i="54"/>
  <c r="D39" i="58"/>
  <c r="D8" i="59"/>
  <c r="D18" i="60"/>
  <c r="D30" i="58"/>
  <c r="E6" i="59"/>
  <c r="D39" i="56"/>
  <c r="E36" i="52"/>
  <c r="D17" i="50"/>
  <c r="D10" i="59"/>
  <c r="E28" i="51"/>
  <c r="E40" i="54"/>
  <c r="D35" i="50"/>
  <c r="D36" i="51"/>
  <c r="D7" i="52"/>
  <c r="E7" i="54"/>
  <c r="B11" i="54" s="1"/>
  <c r="E12" i="56"/>
  <c r="D17" i="59"/>
  <c r="F9" i="61"/>
  <c r="E29" i="61"/>
  <c r="D9" i="60"/>
  <c r="E19" i="55"/>
  <c r="D18" i="50"/>
  <c r="D26" i="57"/>
  <c r="E24" i="55"/>
  <c r="E25" i="50"/>
  <c r="D11" i="51"/>
  <c r="F10" i="52"/>
  <c r="D34" i="53"/>
  <c r="E39" i="56"/>
  <c r="F8" i="59"/>
  <c r="E22" i="61"/>
  <c r="E11" i="61"/>
  <c r="D17" i="58"/>
  <c r="D25" i="50"/>
  <c r="D28" i="54"/>
  <c r="D26" i="60"/>
  <c r="D12" i="50"/>
  <c r="D8" i="53"/>
  <c r="D25" i="58"/>
  <c r="F12" i="56"/>
  <c r="E27" i="51"/>
  <c r="F8" i="60"/>
  <c r="F8" i="52"/>
  <c r="D10" i="55"/>
  <c r="E5" i="59"/>
  <c r="E19" i="54"/>
  <c r="E26" i="52"/>
  <c r="E12" i="57"/>
  <c r="F10" i="53"/>
  <c r="D40" i="52"/>
  <c r="D7" i="53"/>
  <c r="E12" i="61"/>
  <c r="D7" i="56"/>
  <c r="E34" i="50"/>
  <c r="D22" i="54"/>
  <c r="E7" i="59"/>
  <c r="B11" i="59" s="1"/>
  <c r="D34" i="51"/>
  <c r="E34" i="52"/>
  <c r="E10" i="54"/>
  <c r="E10" i="57"/>
  <c r="D44" i="56"/>
  <c r="E11" i="58"/>
  <c r="D16" i="51"/>
  <c r="D20" i="59"/>
  <c r="E4" i="60"/>
  <c r="D5" i="51"/>
  <c r="D18" i="59"/>
  <c r="D15" i="56"/>
  <c r="E15" i="51"/>
  <c r="D11" i="57"/>
  <c r="D25" i="51"/>
  <c r="E15" i="52"/>
  <c r="E24" i="60"/>
  <c r="E38" i="52"/>
  <c r="E38" i="50"/>
  <c r="B2" i="52"/>
  <c r="D38" i="58"/>
  <c r="E6" i="52"/>
  <c r="D33" i="52"/>
  <c r="D30" i="59"/>
  <c r="E26" i="58"/>
  <c r="E35" i="60"/>
  <c r="E27" i="61"/>
  <c r="D11" i="58"/>
  <c r="E4" i="54"/>
  <c r="D35" i="58"/>
  <c r="E10" i="51"/>
  <c r="D20" i="60"/>
  <c r="D40" i="58"/>
  <c r="E44" i="58"/>
  <c r="D7" i="50"/>
  <c r="E22" i="56"/>
  <c r="E6" i="60"/>
  <c r="E26" i="56"/>
  <c r="E27" i="50"/>
  <c r="D36" i="54"/>
  <c r="F10" i="61"/>
  <c r="F8" i="51"/>
  <c r="D6" i="56"/>
  <c r="E40" i="51"/>
  <c r="E16" i="61"/>
  <c r="E43" i="61"/>
  <c r="D35" i="56"/>
  <c r="D29" i="60"/>
  <c r="E18" i="50"/>
  <c r="F11" i="54"/>
  <c r="D44" i="50"/>
  <c r="F7" i="50"/>
  <c r="E24" i="59"/>
  <c r="E23" i="56"/>
  <c r="E7" i="60"/>
  <c r="B11" i="60" s="1"/>
  <c r="D44" i="51"/>
  <c r="E34" i="58"/>
  <c r="D9" i="58"/>
  <c r="D12" i="57"/>
  <c r="E27" i="60"/>
  <c r="F10" i="56"/>
  <c r="E12" i="52"/>
  <c r="E12" i="55"/>
  <c r="F8" i="54"/>
  <c r="E27" i="58"/>
  <c r="D23" i="59"/>
  <c r="D37" i="51"/>
  <c r="D37" i="57"/>
  <c r="E43" i="60"/>
  <c r="D5" i="54"/>
  <c r="E9" i="50"/>
  <c r="E5" i="56"/>
  <c r="D24" i="57"/>
  <c r="D7" i="60"/>
  <c r="B2" i="60"/>
  <c r="D40" i="59"/>
  <c r="F7" i="58"/>
  <c r="E22" i="52"/>
  <c r="E17" i="50"/>
  <c r="D24" i="58"/>
  <c r="D25" i="52"/>
  <c r="D41" i="58"/>
  <c r="D32" i="50"/>
  <c r="E23" i="52"/>
  <c r="D24" i="54"/>
  <c r="D10" i="53"/>
  <c r="E25" i="56"/>
  <c r="D11" i="61"/>
  <c r="E37" i="58"/>
  <c r="F8" i="57"/>
  <c r="E40" i="58"/>
  <c r="D40" i="60"/>
  <c r="E36" i="51"/>
  <c r="E8" i="50"/>
  <c r="D25" i="57"/>
  <c r="D38" i="51"/>
  <c r="D36" i="53"/>
  <c r="D39" i="50"/>
  <c r="E19" i="51"/>
  <c r="E11" i="52"/>
  <c r="E26" i="54"/>
  <c r="F9" i="54"/>
  <c r="E19" i="60"/>
  <c r="D34" i="60"/>
  <c r="D5" i="60"/>
  <c r="D10" i="60"/>
  <c r="D28" i="61"/>
  <c r="D17" i="56"/>
  <c r="D6" i="52"/>
  <c r="D28" i="59"/>
  <c r="E10" i="60"/>
  <c r="F8" i="50"/>
  <c r="E19" i="52"/>
  <c r="E29" i="52"/>
  <c r="E35" i="54"/>
  <c r="D38" i="53"/>
  <c r="E22" i="60"/>
  <c r="D44" i="60"/>
  <c r="F12" i="59"/>
  <c r="D35" i="61"/>
  <c r="D26" i="51"/>
  <c r="D16" i="60"/>
  <c r="E15" i="57"/>
  <c r="E16" i="56"/>
  <c r="D5" i="52"/>
  <c r="E34" i="59"/>
  <c r="D34" i="57"/>
  <c r="D44" i="52"/>
  <c r="D13" i="60"/>
  <c r="E8" i="60"/>
  <c r="D35" i="59"/>
  <c r="E23" i="58"/>
  <c r="E9" i="51"/>
  <c r="E17" i="61"/>
  <c r="E11" i="54"/>
  <c r="E18" i="60"/>
  <c r="D17" i="60"/>
  <c r="D18" i="55"/>
  <c r="D38" i="52"/>
  <c r="D22" i="58"/>
  <c r="E27" i="52"/>
  <c r="D40" i="50"/>
  <c r="E17" i="51"/>
  <c r="E25" i="61"/>
  <c r="D17" i="57"/>
  <c r="E11" i="60"/>
  <c r="E34" i="56"/>
  <c r="D6" i="57"/>
  <c r="F10" i="59"/>
  <c r="E25" i="54"/>
  <c r="D32" i="56"/>
  <c r="D44" i="59"/>
  <c r="D22" i="51"/>
  <c r="E25" i="60"/>
  <c r="E16" i="52"/>
  <c r="E40" i="56"/>
  <c r="E25" i="51"/>
  <c r="E36" i="54"/>
  <c r="D27" i="51"/>
  <c r="E39" i="54"/>
  <c r="D43" i="61"/>
  <c r="D29" i="59"/>
  <c r="E37" i="56"/>
  <c r="E7" i="56"/>
  <c r="B11" i="56" s="1"/>
  <c r="D22" i="60"/>
  <c r="D9" i="57"/>
  <c r="E32" i="50"/>
  <c r="D12" i="56"/>
  <c r="D44" i="55"/>
  <c r="F7" i="53"/>
  <c r="D18" i="54"/>
  <c r="D27" i="50"/>
  <c r="D8" i="50"/>
  <c r="D25" i="54"/>
  <c r="E38" i="60"/>
  <c r="E19" i="59"/>
  <c r="E36" i="60"/>
  <c r="E23" i="61"/>
  <c r="D32" i="54"/>
  <c r="E35" i="52"/>
  <c r="D37" i="61"/>
  <c r="D6" i="61"/>
  <c r="D11" i="59"/>
  <c r="E24" i="52"/>
  <c r="F11" i="52"/>
  <c r="E32" i="61"/>
  <c r="D27" i="57"/>
  <c r="E40" i="52"/>
  <c r="D26" i="54"/>
  <c r="D25" i="60"/>
  <c r="D28" i="50"/>
  <c r="F8" i="61"/>
  <c r="E33" i="59"/>
  <c r="D7" i="54"/>
  <c r="D7" i="59"/>
  <c r="D24" i="55"/>
  <c r="F7" i="61"/>
  <c r="D32" i="55"/>
  <c r="E24" i="58"/>
  <c r="E33" i="60"/>
  <c r="D39" i="51"/>
  <c r="E35" i="51"/>
  <c r="D7" i="51"/>
  <c r="D33" i="54"/>
  <c r="B2" i="55"/>
  <c r="D10" i="57"/>
  <c r="E32" i="58"/>
  <c r="D32" i="58"/>
  <c r="D23" i="51"/>
  <c r="D24" i="52"/>
  <c r="E34" i="55"/>
  <c r="D35" i="60"/>
  <c r="D19" i="58"/>
  <c r="D44" i="53"/>
  <c r="D10" i="50"/>
  <c r="E34" i="54"/>
  <c r="E23" i="59"/>
  <c r="E10" i="52"/>
  <c r="D34" i="59"/>
  <c r="E11" i="50"/>
  <c r="F9" i="53"/>
  <c r="E37" i="50"/>
  <c r="D44" i="61"/>
  <c r="E8" i="58"/>
  <c r="D28" i="57"/>
  <c r="E35" i="58"/>
  <c r="E23" i="55"/>
  <c r="D40" i="56"/>
  <c r="E22" i="50"/>
  <c r="E16" i="51"/>
  <c r="D26" i="52"/>
  <c r="F9" i="56"/>
  <c r="D8" i="55"/>
  <c r="E22" i="54"/>
  <c r="D19" i="59"/>
  <c r="E17" i="60"/>
  <c r="E5" i="60"/>
  <c r="E38" i="61"/>
  <c r="D35" i="52"/>
  <c r="E43" i="58"/>
  <c r="D39" i="59"/>
  <c r="F12" i="54"/>
  <c r="D6" i="50"/>
  <c r="D27" i="53"/>
  <c r="D32" i="61"/>
  <c r="E37" i="57"/>
  <c r="E9" i="60"/>
  <c r="E10" i="61"/>
  <c r="D23" i="55"/>
  <c r="D36" i="52"/>
  <c r="E33" i="61"/>
  <c r="D6" i="53"/>
  <c r="E42" i="60"/>
  <c r="D36" i="50"/>
  <c r="D9" i="51"/>
  <c r="E32" i="54"/>
  <c r="D17" i="54"/>
  <c r="D6" i="54"/>
  <c r="D7" i="57"/>
  <c r="E36" i="58"/>
  <c r="F7" i="57"/>
  <c r="D30" i="60"/>
  <c r="D35" i="57"/>
  <c r="D28" i="58"/>
  <c r="D15" i="54"/>
  <c r="E33" i="52"/>
  <c r="F12" i="58"/>
  <c r="E16" i="54"/>
  <c r="E40" i="61"/>
  <c r="E24" i="50"/>
  <c r="D37" i="52"/>
  <c r="D39" i="52"/>
  <c r="E18" i="55"/>
  <c r="E29" i="54"/>
  <c r="E22" i="57"/>
  <c r="D33" i="60"/>
  <c r="E15" i="59"/>
  <c r="E16" i="58"/>
  <c r="D33" i="59"/>
  <c r="E39" i="57"/>
  <c r="F9" i="52"/>
  <c r="D11" i="50"/>
  <c r="D9" i="50"/>
  <c r="E34" i="51"/>
  <c r="E23" i="54"/>
  <c r="D36" i="56"/>
  <c r="E38" i="54"/>
  <c r="E11" i="57"/>
  <c r="D24" i="59"/>
  <c r="F9" i="60"/>
  <c r="D10" i="58"/>
  <c r="E36" i="59"/>
  <c r="D29" i="56"/>
  <c r="D29" i="57"/>
  <c r="D29" i="55"/>
  <c r="D29" i="53"/>
  <c r="D29" i="54"/>
  <c r="D29" i="52"/>
  <c r="D29" i="51"/>
  <c r="D29" i="50"/>
  <c r="D19" i="57"/>
  <c r="D19" i="56"/>
  <c r="D19" i="55"/>
  <c r="D19" i="54"/>
  <c r="D19" i="53"/>
  <c r="D19" i="52"/>
  <c r="D19" i="51"/>
  <c r="D19" i="50"/>
  <c r="D30" i="50"/>
  <c r="D13" i="50"/>
  <c r="D20" i="50"/>
  <c r="D41" i="50"/>
  <c r="D13" i="51"/>
  <c r="D30" i="51"/>
  <c r="D41" i="51"/>
  <c r="D20" i="51"/>
  <c r="D13" i="52"/>
  <c r="D20" i="52"/>
  <c r="D30" i="52"/>
  <c r="D41" i="52"/>
  <c r="D13" i="53"/>
  <c r="D20" i="53"/>
  <c r="D30" i="53"/>
  <c r="D41" i="53"/>
  <c r="D41" i="54"/>
  <c r="D20" i="54"/>
  <c r="D13" i="54"/>
  <c r="D30" i="54"/>
  <c r="D20" i="55"/>
  <c r="D13" i="55"/>
  <c r="D30" i="55"/>
  <c r="D41" i="55"/>
  <c r="D30" i="56"/>
  <c r="D20" i="56"/>
  <c r="D13" i="56"/>
  <c r="D41" i="56"/>
  <c r="D20" i="57"/>
  <c r="D13" i="57"/>
  <c r="D30" i="57"/>
  <c r="D41" i="57"/>
  <c r="C18" i="40"/>
  <c r="B40" i="40"/>
  <c r="C10" i="40"/>
  <c r="B29" i="40"/>
  <c r="B20" i="40"/>
  <c r="C17" i="40"/>
  <c r="E14" i="40"/>
  <c r="E29" i="40"/>
  <c r="D37" i="40"/>
  <c r="D26" i="40"/>
  <c r="E10" i="40"/>
  <c r="D23" i="40"/>
  <c r="D15" i="40"/>
  <c r="B32" i="40"/>
  <c r="E12" i="40"/>
  <c r="E15" i="40"/>
  <c r="F12" i="40"/>
  <c r="C24" i="40"/>
  <c r="B35" i="40"/>
  <c r="C25" i="40"/>
  <c r="B5" i="40"/>
  <c r="C23" i="40"/>
  <c r="C37" i="40"/>
  <c r="D17" i="40"/>
  <c r="D12" i="40"/>
  <c r="E17" i="40"/>
  <c r="B14" i="40"/>
  <c r="B23" i="40"/>
  <c r="D7" i="40"/>
  <c r="C16" i="40"/>
  <c r="C33" i="40"/>
  <c r="E31" i="40"/>
  <c r="E40" i="40"/>
  <c r="D35" i="40"/>
  <c r="D6" i="40"/>
  <c r="C30" i="40"/>
  <c r="C15" i="40"/>
  <c r="E39" i="40"/>
  <c r="D33" i="40"/>
  <c r="E9" i="40"/>
  <c r="B13" i="40"/>
  <c r="E33" i="40"/>
  <c r="D36" i="40"/>
  <c r="E37" i="40"/>
  <c r="B47" i="40"/>
  <c r="E16" i="40"/>
  <c r="B12" i="40"/>
  <c r="B30" i="40"/>
  <c r="F9" i="40"/>
  <c r="D27" i="40"/>
  <c r="B15" i="40"/>
  <c r="E27" i="40"/>
  <c r="C20" i="40"/>
  <c r="B33" i="40"/>
  <c r="E38" i="40"/>
  <c r="C26" i="40"/>
  <c r="B22" i="40"/>
  <c r="C36" i="40"/>
  <c r="B18" i="40"/>
  <c r="B45" i="40"/>
  <c r="D28" i="40"/>
  <c r="E8" i="40"/>
  <c r="C35" i="40"/>
  <c r="D18" i="40"/>
  <c r="B37" i="40"/>
  <c r="D39" i="40"/>
  <c r="D25" i="40"/>
  <c r="E35" i="40"/>
  <c r="C27" i="40"/>
  <c r="D16" i="40"/>
  <c r="D34" i="40"/>
  <c r="B16" i="40"/>
  <c r="C11" i="40"/>
  <c r="B39" i="40"/>
  <c r="E5" i="40"/>
  <c r="B28" i="40"/>
  <c r="E21" i="40"/>
  <c r="B46" i="40"/>
  <c r="D40" i="40"/>
  <c r="F7" i="40"/>
  <c r="E34" i="40"/>
  <c r="E18" i="40"/>
  <c r="B19" i="40"/>
  <c r="F8" i="40"/>
  <c r="B31" i="40"/>
  <c r="C9" i="40"/>
  <c r="F11" i="40"/>
  <c r="B26" i="40"/>
  <c r="B24" i="40"/>
  <c r="D9" i="40"/>
  <c r="D24" i="40"/>
  <c r="E23" i="40"/>
  <c r="E4" i="40"/>
  <c r="D11" i="40"/>
  <c r="C7" i="40"/>
  <c r="E19" i="40"/>
  <c r="C13" i="40"/>
  <c r="C41" i="40"/>
  <c r="B17" i="40"/>
  <c r="B42" i="40"/>
  <c r="C38" i="40"/>
  <c r="E7" i="40"/>
  <c r="B11" i="40" s="1"/>
  <c r="B6" i="40"/>
  <c r="E24" i="40"/>
  <c r="C47" i="40"/>
  <c r="C5" i="40"/>
  <c r="D8" i="40"/>
  <c r="B9" i="40"/>
  <c r="C12" i="40"/>
  <c r="C28" i="40"/>
  <c r="E11" i="40"/>
  <c r="B21" i="40"/>
  <c r="B34" i="40"/>
  <c r="F10" i="40"/>
  <c r="B44" i="40"/>
  <c r="C8" i="40"/>
  <c r="C39" i="40"/>
  <c r="E25" i="40"/>
  <c r="E6" i="40"/>
  <c r="B7" i="40"/>
  <c r="E26" i="40"/>
  <c r="E28" i="40"/>
  <c r="D10" i="40"/>
  <c r="B43" i="40"/>
  <c r="C6" i="40"/>
  <c r="B27" i="40"/>
  <c r="B2" i="40"/>
  <c r="D5" i="40"/>
  <c r="C34" i="40"/>
  <c r="B36" i="40"/>
  <c r="D44" i="40"/>
  <c r="D38" i="40"/>
  <c r="E36" i="40"/>
  <c r="B8" i="40"/>
  <c r="B38" i="40"/>
  <c r="B25" i="40"/>
  <c r="C32" i="40"/>
  <c r="D22" i="40"/>
  <c r="E22" i="40"/>
  <c r="D19" i="40"/>
  <c r="D29" i="40"/>
  <c r="C19" i="40"/>
  <c r="C40" i="40"/>
  <c r="C29" i="40"/>
  <c r="C22" i="40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D13" i="40"/>
  <c r="D20" i="40"/>
  <c r="D30" i="40"/>
  <c r="D41" i="40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D43" i="54" a="1"/>
  <c r="E32" i="40" a="1"/>
  <c r="D43" i="53" a="1"/>
  <c r="E44" i="56" a="1"/>
  <c r="E44" i="54" a="1"/>
  <c r="E43" i="54" a="1"/>
  <c r="D43" i="52" a="1"/>
  <c r="D43" i="56" a="1"/>
  <c r="D42" i="54" a="1"/>
  <c r="D43" i="51" a="1"/>
  <c r="D42" i="50" a="1"/>
  <c r="D43" i="50" a="1"/>
  <c r="C43" i="40" a="1"/>
  <c r="E44" i="53" a="1"/>
  <c r="D42" i="57" a="1"/>
  <c r="E43" i="40" a="1"/>
  <c r="D42" i="52" a="1"/>
  <c r="D42" i="51" a="1"/>
  <c r="D42" i="40" a="1"/>
  <c r="D43" i="55" a="1"/>
  <c r="D42" i="53" a="1"/>
  <c r="D43" i="57" a="1"/>
  <c r="D32" i="40" a="1"/>
  <c r="E44" i="51" a="1"/>
  <c r="D43" i="40" a="1"/>
  <c r="C42" i="40" a="1"/>
  <c r="D42" i="56" a="1"/>
  <c r="C44" i="40" a="1"/>
  <c r="D42" i="55" a="1"/>
  <c r="E44" i="56" l="1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E45" i="1"/>
  <c r="H41" i="1"/>
  <c r="AF39" i="1"/>
  <c r="C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3" i="52" a="1"/>
  <c r="E42" i="54" a="1"/>
  <c r="C45" i="40" a="1"/>
  <c r="E43" i="56" a="1"/>
  <c r="E42" i="52" a="1"/>
  <c r="E44" i="50" a="1"/>
  <c r="E43" i="51" a="1"/>
  <c r="E42" i="53" a="1"/>
  <c r="E43" i="50" a="1"/>
  <c r="E43" i="57" a="1"/>
  <c r="E44" i="40" a="1"/>
  <c r="E42" i="40" a="1"/>
  <c r="E42" i="57" a="1"/>
  <c r="E42" i="51" a="1"/>
  <c r="E44" i="57" a="1"/>
  <c r="E42" i="50" a="1"/>
  <c r="E43" i="53" a="1"/>
  <c r="B52" i="40"/>
  <c r="E43" i="55" a="1"/>
  <c r="E42" i="56" a="1"/>
  <c r="E44" i="55" a="1"/>
  <c r="E42" i="55" a="1"/>
  <c r="E44" i="52" a="1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V43" i="1" s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3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E45" i="55" a="1"/>
  <c r="D46" i="40" a="1"/>
  <c r="D46" i="55" a="1"/>
  <c r="D45" i="54" a="1"/>
  <c r="D45" i="40" a="1"/>
  <c r="E45" i="52" a="1"/>
  <c r="B52" i="51"/>
  <c r="E45" i="50" a="1"/>
  <c r="B52" i="54"/>
  <c r="E45" i="51" a="1"/>
  <c r="D45" i="53" a="1"/>
  <c r="B52" i="50"/>
  <c r="D45" i="55" a="1"/>
  <c r="B52" i="52"/>
  <c r="B52" i="57"/>
  <c r="C46" i="40" a="1"/>
  <c r="B52" i="56"/>
  <c r="B52" i="55"/>
  <c r="D45" i="57" a="1"/>
  <c r="D45" i="51" a="1"/>
  <c r="D45" i="56" a="1"/>
  <c r="D46" i="54" a="1"/>
  <c r="E45" i="57" a="1"/>
  <c r="E45" i="56" a="1"/>
  <c r="D45" i="50" a="1"/>
  <c r="D45" i="52" a="1"/>
  <c r="B52" i="53"/>
  <c r="AB43" i="1" l="1"/>
  <c r="Y43" i="1"/>
  <c r="G49" i="28" s="1"/>
  <c r="T42" i="1"/>
  <c r="M43" i="1"/>
  <c r="N43" i="1" s="1"/>
  <c r="J43" i="1"/>
  <c r="G18" i="28" s="1"/>
  <c r="E45" i="57"/>
  <c r="D45" i="57"/>
  <c r="E45" i="56"/>
  <c r="D45" i="56"/>
  <c r="D46" i="55"/>
  <c r="E45" i="55"/>
  <c r="D45" i="55"/>
  <c r="D46" i="54"/>
  <c r="D45" i="54"/>
  <c r="D45" i="53"/>
  <c r="Q42" i="1"/>
  <c r="P43" i="1"/>
  <c r="G31" i="28" s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D46" i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G27" i="28"/>
  <c r="G26" i="28"/>
  <c r="G28" i="28"/>
  <c r="Q19" i="1"/>
  <c r="Z43" i="1"/>
  <c r="T43" i="1"/>
  <c r="D45" i="59" a="1"/>
  <c r="D4" i="17" a="1"/>
  <c r="E46" i="40" a="1"/>
  <c r="D8" i="17" a="1"/>
  <c r="D45" i="58" a="1"/>
  <c r="D14" i="17" a="1"/>
  <c r="E46" i="54" a="1"/>
  <c r="D11" i="17" a="1"/>
  <c r="E45" i="53" a="1"/>
  <c r="D6" i="17" a="1"/>
  <c r="D46" i="53" a="1"/>
  <c r="D46" i="56" a="1"/>
  <c r="E46" i="52" a="1"/>
  <c r="D5" i="17" a="1"/>
  <c r="D10" i="17" a="1"/>
  <c r="D46" i="52" a="1"/>
  <c r="D46" i="50" a="1"/>
  <c r="E46" i="56" a="1"/>
  <c r="D2" i="17" a="1"/>
  <c r="E46" i="57" a="1"/>
  <c r="D46" i="57" a="1"/>
  <c r="D9" i="17" a="1"/>
  <c r="D12" i="17" a="1"/>
  <c r="D45" i="61" a="1"/>
  <c r="E45" i="54" a="1"/>
  <c r="E46" i="55" a="1"/>
  <c r="E46" i="51" a="1"/>
  <c r="D45" i="60" a="1"/>
  <c r="D13" i="17" a="1"/>
  <c r="D7" i="17" a="1"/>
  <c r="D46" i="51" a="1"/>
  <c r="D3" i="17" a="1"/>
  <c r="E45" i="40" a="1"/>
  <c r="D45" i="61" l="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E45" i="59" a="1"/>
  <c r="E45" i="58" a="1"/>
  <c r="D46" i="61" a="1"/>
  <c r="D46" i="58" a="1"/>
  <c r="E46" i="50" a="1"/>
  <c r="E45" i="61" a="1"/>
  <c r="E46" i="53" a="1"/>
  <c r="D46" i="60" a="1"/>
  <c r="E45" i="60" a="1"/>
  <c r="D46" i="59" a="1"/>
  <c r="D46" i="61" l="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E46" i="58" a="1"/>
  <c r="E46" i="61" a="1"/>
  <c r="E46" i="59" a="1"/>
  <c r="E46" i="60" a="1"/>
  <c r="E46" i="61" l="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6" a="1"/>
  <c r="D47" i="55" a="1"/>
  <c r="D47" i="54" a="1"/>
  <c r="D47" i="50" a="1"/>
  <c r="D47" i="57" a="1"/>
  <c r="D47" i="60" a="1"/>
  <c r="D47" i="61" a="1"/>
  <c r="D47" i="51" a="1"/>
  <c r="D47" i="59" a="1"/>
  <c r="D47" i="52" a="1"/>
  <c r="D47" i="58" a="1"/>
  <c r="D47" i="40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D47" i="53" a="1"/>
  <c r="E47" i="59" a="1"/>
  <c r="E47" i="55" a="1"/>
  <c r="E47" i="52" a="1"/>
  <c r="E47" i="60" a="1"/>
  <c r="E47" i="56" a="1"/>
  <c r="E47" i="61" a="1"/>
  <c r="E47" i="58" a="1"/>
  <c r="E47" i="53" a="1"/>
  <c r="E47" i="50" a="1"/>
  <c r="E47" i="57" a="1"/>
  <c r="E47" i="54" a="1"/>
  <c r="E47" i="40" a="1"/>
  <c r="E47" i="51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<sst xmlns="http://schemas.openxmlformats.org/spreadsheetml/2006/main" count="316" uniqueCount="96">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</sst>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0" fillId="4" borderId="24" xfId="0" applyFill="1" applyBorder="1" applyAlignment="1">
      <alignment vertical="top" wrapText="1"/>
    </xf>
    <xf numFmtId="0" fontId="0" fillId="4" borderId="24" xfId="0" applyFill="1" applyBorder="1" applyAlignment="1">
      <alignment horizontal="left"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4" borderId="24" xfId="0" applyFill="1" applyBorder="1" applyAlignment="1">
      <alignment vertic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workbookViewId="0">
      <selection activeCell="I9" sqref="I9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19</v>
      </c>
      <c r="B1" s="10" t="s">
        <v>14</v>
      </c>
      <c r="C1" s="10" t="s">
        <v>71</v>
      </c>
      <c r="D1" s="10" t="s">
        <v>18</v>
      </c>
      <c r="E1" s="10" t="s">
        <v>12</v>
      </c>
      <c r="F1" s="10" t="s">
        <v>87</v>
      </c>
      <c r="G1" s="10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AND(C13,Gesamt!J$45)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3" sqref="D13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67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12</v>
      </c>
      <c r="B2" s="24"/>
      <c r="C2" s="12"/>
      <c r="D2" s="34" t="s">
        <v>18</v>
      </c>
      <c r="E2" s="190"/>
      <c r="F2" s="191"/>
      <c r="G2" s="14" t="s">
        <v>18</v>
      </c>
      <c r="H2" s="202"/>
      <c r="I2" s="203"/>
      <c r="J2" s="14" t="s">
        <v>18</v>
      </c>
      <c r="K2" s="206"/>
      <c r="L2" s="207"/>
      <c r="M2" s="77" t="s">
        <v>18</v>
      </c>
      <c r="N2" s="219"/>
      <c r="O2" s="220"/>
      <c r="P2" s="77" t="s">
        <v>18</v>
      </c>
      <c r="Q2" s="219"/>
      <c r="R2" s="220"/>
      <c r="S2" s="77" t="s">
        <v>18</v>
      </c>
      <c r="T2" s="219"/>
      <c r="U2" s="220"/>
      <c r="V2" s="77" t="s">
        <v>18</v>
      </c>
      <c r="W2" s="206"/>
      <c r="X2" s="207"/>
      <c r="Y2" s="77" t="s">
        <v>18</v>
      </c>
      <c r="Z2" s="206"/>
      <c r="AA2" s="207"/>
      <c r="AB2" s="77" t="s">
        <v>18</v>
      </c>
      <c r="AC2" s="206"/>
      <c r="AD2" s="207"/>
      <c r="AE2" s="77" t="s">
        <v>18</v>
      </c>
      <c r="AF2" s="206"/>
      <c r="AG2" s="207"/>
      <c r="AH2" s="77" t="s">
        <v>18</v>
      </c>
      <c r="AI2" s="206"/>
      <c r="AJ2" s="207"/>
      <c r="AK2" s="77" t="s">
        <v>18</v>
      </c>
      <c r="AL2" s="206"/>
      <c r="AM2" s="207"/>
      <c r="AN2" s="77" t="s">
        <v>18</v>
      </c>
      <c r="AO2" s="206"/>
      <c r="AP2" s="207"/>
    </row>
    <row r="3" spans="1:42" s="16" customFormat="1" ht="17" x14ac:dyDescent="0.2">
      <c r="A3" s="158" t="s">
        <v>15</v>
      </c>
      <c r="B3" s="30"/>
      <c r="C3" s="31"/>
      <c r="D3" s="35" t="s">
        <v>19</v>
      </c>
      <c r="E3" s="91" t="s">
        <v>14</v>
      </c>
      <c r="F3" s="84" t="s">
        <v>71</v>
      </c>
      <c r="G3" s="15" t="s">
        <v>19</v>
      </c>
      <c r="H3" s="113" t="s">
        <v>14</v>
      </c>
      <c r="I3" s="84" t="s">
        <v>71</v>
      </c>
      <c r="J3" s="15" t="s">
        <v>19</v>
      </c>
      <c r="K3" s="91" t="s">
        <v>14</v>
      </c>
      <c r="L3" s="84" t="s">
        <v>71</v>
      </c>
      <c r="M3" s="78" t="s">
        <v>19</v>
      </c>
      <c r="N3" s="83" t="s">
        <v>14</v>
      </c>
      <c r="O3" s="84" t="s">
        <v>71</v>
      </c>
      <c r="P3" s="78" t="s">
        <v>19</v>
      </c>
      <c r="Q3" s="83" t="s">
        <v>14</v>
      </c>
      <c r="R3" s="84" t="s">
        <v>71</v>
      </c>
      <c r="S3" s="78" t="s">
        <v>19</v>
      </c>
      <c r="T3" s="83" t="s">
        <v>14</v>
      </c>
      <c r="U3" s="84" t="s">
        <v>71</v>
      </c>
      <c r="V3" s="78" t="s">
        <v>19</v>
      </c>
      <c r="W3" s="91" t="s">
        <v>14</v>
      </c>
      <c r="X3" s="84" t="s">
        <v>71</v>
      </c>
      <c r="Y3" s="78" t="s">
        <v>19</v>
      </c>
      <c r="Z3" s="91" t="s">
        <v>14</v>
      </c>
      <c r="AA3" s="84" t="s">
        <v>71</v>
      </c>
      <c r="AB3" s="78" t="s">
        <v>19</v>
      </c>
      <c r="AC3" s="91" t="s">
        <v>14</v>
      </c>
      <c r="AD3" s="84" t="s">
        <v>71</v>
      </c>
      <c r="AE3" s="78" t="s">
        <v>19</v>
      </c>
      <c r="AF3" s="91" t="s">
        <v>14</v>
      </c>
      <c r="AG3" s="84" t="s">
        <v>71</v>
      </c>
      <c r="AH3" s="78" t="s">
        <v>19</v>
      </c>
      <c r="AI3" s="91" t="s">
        <v>14</v>
      </c>
      <c r="AJ3" s="84" t="s">
        <v>71</v>
      </c>
      <c r="AK3" s="78" t="s">
        <v>19</v>
      </c>
      <c r="AL3" s="91" t="s">
        <v>14</v>
      </c>
      <c r="AM3" s="84" t="s">
        <v>71</v>
      </c>
      <c r="AN3" s="78" t="s">
        <v>19</v>
      </c>
      <c r="AO3" s="91" t="s">
        <v>14</v>
      </c>
      <c r="AP3" s="84" t="s">
        <v>71</v>
      </c>
    </row>
    <row r="4" spans="1:42" s="176" customFormat="1" ht="17" x14ac:dyDescent="0.2">
      <c r="A4" s="11" t="s">
        <v>16</v>
      </c>
      <c r="B4" s="24"/>
      <c r="C4" s="12"/>
      <c r="D4" s="174"/>
      <c r="E4" s="175"/>
      <c r="F4" s="180" t="b">
        <v>1</v>
      </c>
      <c r="H4" s="177"/>
      <c r="I4" s="180" t="b">
        <v>1</v>
      </c>
      <c r="K4" s="175"/>
      <c r="L4" s="180" t="b">
        <v>1</v>
      </c>
      <c r="M4" s="178"/>
      <c r="N4" s="179"/>
      <c r="O4" s="180" t="b">
        <v>1</v>
      </c>
      <c r="P4" s="178"/>
      <c r="Q4" s="179"/>
      <c r="R4" s="180" t="b">
        <v>1</v>
      </c>
      <c r="S4" s="178"/>
      <c r="T4" s="179"/>
      <c r="U4" s="181" t="b">
        <v>1</v>
      </c>
      <c r="V4" s="178"/>
      <c r="W4" s="175"/>
      <c r="X4" s="180" t="b">
        <v>1</v>
      </c>
      <c r="Y4" s="178"/>
      <c r="Z4" s="175"/>
      <c r="AA4" s="180" t="b">
        <v>1</v>
      </c>
      <c r="AB4" s="178"/>
      <c r="AC4" s="175"/>
      <c r="AD4" s="180" t="b">
        <v>1</v>
      </c>
      <c r="AE4" s="178"/>
      <c r="AF4" s="175"/>
      <c r="AG4" s="180" t="b">
        <v>1</v>
      </c>
      <c r="AH4" s="178"/>
      <c r="AI4" s="175"/>
      <c r="AJ4" s="180" t="b">
        <v>1</v>
      </c>
      <c r="AK4" s="178"/>
      <c r="AL4" s="175"/>
      <c r="AM4" s="180" t="b">
        <v>1</v>
      </c>
      <c r="AN4" s="178"/>
      <c r="AO4" s="175"/>
      <c r="AP4" s="180" t="b">
        <v>1</v>
      </c>
    </row>
    <row r="5" spans="1:42" s="16" customFormat="1" x14ac:dyDescent="0.2">
      <c r="A5" s="159" t="s">
        <v>17</v>
      </c>
      <c r="B5" s="32"/>
      <c r="C5" s="31"/>
      <c r="D5" s="160"/>
      <c r="E5" s="161"/>
      <c r="F5" s="162" t="s">
        <v>72</v>
      </c>
      <c r="G5" s="159"/>
      <c r="H5" s="163"/>
      <c r="I5" s="162" t="s">
        <v>72</v>
      </c>
      <c r="J5" s="159"/>
      <c r="K5" s="161"/>
      <c r="L5" s="162" t="s">
        <v>72</v>
      </c>
      <c r="M5" s="164"/>
      <c r="N5" s="165"/>
      <c r="O5" s="162" t="s">
        <v>72</v>
      </c>
      <c r="P5" s="164"/>
      <c r="Q5" s="165"/>
      <c r="R5" s="162" t="s">
        <v>72</v>
      </c>
      <c r="S5" s="164"/>
      <c r="T5" s="165"/>
      <c r="U5" s="166" t="s">
        <v>72</v>
      </c>
      <c r="V5" s="164"/>
      <c r="W5" s="161"/>
      <c r="X5" s="162" t="s">
        <v>72</v>
      </c>
      <c r="Y5" s="164"/>
      <c r="Z5" s="161"/>
      <c r="AA5" s="162" t="s">
        <v>72</v>
      </c>
      <c r="AB5" s="164"/>
      <c r="AC5" s="161"/>
      <c r="AD5" s="162" t="s">
        <v>72</v>
      </c>
      <c r="AE5" s="164"/>
      <c r="AF5" s="161"/>
      <c r="AG5" s="162" t="s">
        <v>72</v>
      </c>
      <c r="AH5" s="164"/>
      <c r="AI5" s="161"/>
      <c r="AJ5" s="162" t="s">
        <v>72</v>
      </c>
      <c r="AK5" s="164"/>
      <c r="AL5" s="161"/>
      <c r="AM5" s="162" t="s">
        <v>72</v>
      </c>
      <c r="AN5" s="164"/>
      <c r="AO5" s="161"/>
      <c r="AP5" s="162" t="s">
        <v>72</v>
      </c>
    </row>
    <row r="6" spans="1:42" s="16" customFormat="1" x14ac:dyDescent="0.2">
      <c r="A6" s="29"/>
      <c r="B6" s="30"/>
      <c r="C6" s="31"/>
      <c r="D6" s="160"/>
      <c r="E6" s="161"/>
      <c r="F6" s="162" t="s">
        <v>72</v>
      </c>
      <c r="G6" s="159"/>
      <c r="H6" s="163"/>
      <c r="I6" s="162" t="s">
        <v>72</v>
      </c>
      <c r="J6" s="159"/>
      <c r="K6" s="161"/>
      <c r="L6" s="162" t="s">
        <v>72</v>
      </c>
      <c r="M6" s="164"/>
      <c r="N6" s="165"/>
      <c r="O6" s="162" t="s">
        <v>72</v>
      </c>
      <c r="P6" s="164"/>
      <c r="Q6" s="165"/>
      <c r="R6" s="162" t="s">
        <v>72</v>
      </c>
      <c r="S6" s="164"/>
      <c r="T6" s="165"/>
      <c r="U6" s="166" t="s">
        <v>72</v>
      </c>
      <c r="V6" s="164"/>
      <c r="W6" s="161"/>
      <c r="X6" s="162" t="s">
        <v>72</v>
      </c>
      <c r="Y6" s="164"/>
      <c r="Z6" s="161"/>
      <c r="AA6" s="162" t="s">
        <v>72</v>
      </c>
      <c r="AB6" s="164"/>
      <c r="AC6" s="161"/>
      <c r="AD6" s="162" t="s">
        <v>72</v>
      </c>
      <c r="AE6" s="164"/>
      <c r="AF6" s="161"/>
      <c r="AG6" s="162" t="s">
        <v>72</v>
      </c>
      <c r="AH6" s="164"/>
      <c r="AI6" s="161"/>
      <c r="AJ6" s="162" t="s">
        <v>72</v>
      </c>
      <c r="AK6" s="164"/>
      <c r="AL6" s="161"/>
      <c r="AM6" s="162" t="s">
        <v>72</v>
      </c>
      <c r="AN6" s="164"/>
      <c r="AO6" s="161"/>
      <c r="AP6" s="162" t="s">
        <v>72</v>
      </c>
    </row>
    <row r="7" spans="1:42" s="16" customFormat="1" x14ac:dyDescent="0.2">
      <c r="A7" s="29"/>
      <c r="B7" s="30"/>
      <c r="C7" s="31"/>
      <c r="D7" s="160"/>
      <c r="E7" s="161"/>
      <c r="F7" s="162" t="s">
        <v>72</v>
      </c>
      <c r="G7" s="159"/>
      <c r="H7" s="163"/>
      <c r="I7" s="162" t="s">
        <v>72</v>
      </c>
      <c r="J7" s="159"/>
      <c r="K7" s="161"/>
      <c r="L7" s="162" t="s">
        <v>72</v>
      </c>
      <c r="M7" s="164"/>
      <c r="N7" s="165"/>
      <c r="O7" s="162" t="s">
        <v>72</v>
      </c>
      <c r="P7" s="164"/>
      <c r="Q7" s="165"/>
      <c r="R7" s="162" t="s">
        <v>72</v>
      </c>
      <c r="S7" s="164"/>
      <c r="T7" s="165"/>
      <c r="U7" s="166" t="s">
        <v>72</v>
      </c>
      <c r="V7" s="164"/>
      <c r="W7" s="161"/>
      <c r="X7" s="162" t="s">
        <v>72</v>
      </c>
      <c r="Y7" s="164"/>
      <c r="Z7" s="161"/>
      <c r="AA7" s="162" t="s">
        <v>72</v>
      </c>
      <c r="AB7" s="164"/>
      <c r="AC7" s="161"/>
      <c r="AD7" s="162" t="s">
        <v>72</v>
      </c>
      <c r="AE7" s="164"/>
      <c r="AF7" s="161"/>
      <c r="AG7" s="162" t="s">
        <v>72</v>
      </c>
      <c r="AH7" s="164"/>
      <c r="AI7" s="161"/>
      <c r="AJ7" s="162" t="s">
        <v>72</v>
      </c>
      <c r="AK7" s="164"/>
      <c r="AL7" s="161"/>
      <c r="AM7" s="162" t="s">
        <v>72</v>
      </c>
      <c r="AN7" s="164"/>
      <c r="AO7" s="161"/>
      <c r="AP7" s="162" t="s">
        <v>72</v>
      </c>
    </row>
    <row r="8" spans="1:42" s="16" customFormat="1" x14ac:dyDescent="0.2">
      <c r="A8" s="29"/>
      <c r="B8" s="30"/>
      <c r="C8" s="31"/>
      <c r="D8" s="160"/>
      <c r="E8" s="161"/>
      <c r="F8" s="162" t="s">
        <v>72</v>
      </c>
      <c r="G8" s="159"/>
      <c r="H8" s="163"/>
      <c r="I8" s="162" t="s">
        <v>72</v>
      </c>
      <c r="J8" s="159"/>
      <c r="K8" s="161"/>
      <c r="L8" s="162" t="s">
        <v>72</v>
      </c>
      <c r="M8" s="159"/>
      <c r="N8" s="165"/>
      <c r="O8" s="162" t="s">
        <v>72</v>
      </c>
      <c r="P8" s="164"/>
      <c r="Q8" s="165"/>
      <c r="R8" s="162" t="s">
        <v>72</v>
      </c>
      <c r="S8" s="164"/>
      <c r="T8" s="165"/>
      <c r="U8" s="166" t="s">
        <v>72</v>
      </c>
      <c r="V8" s="164"/>
      <c r="W8" s="161"/>
      <c r="X8" s="162" t="s">
        <v>72</v>
      </c>
      <c r="Y8" s="164"/>
      <c r="Z8" s="161"/>
      <c r="AA8" s="162" t="s">
        <v>72</v>
      </c>
      <c r="AB8" s="164"/>
      <c r="AC8" s="161"/>
      <c r="AD8" s="162" t="s">
        <v>72</v>
      </c>
      <c r="AE8" s="164"/>
      <c r="AF8" s="161"/>
      <c r="AG8" s="162" t="s">
        <v>72</v>
      </c>
      <c r="AH8" s="164"/>
      <c r="AI8" s="161"/>
      <c r="AJ8" s="162" t="s">
        <v>72</v>
      </c>
      <c r="AK8" s="164"/>
      <c r="AL8" s="161"/>
      <c r="AM8" s="162" t="s">
        <v>72</v>
      </c>
      <c r="AN8" s="164"/>
      <c r="AO8" s="161"/>
      <c r="AP8" s="162" t="s">
        <v>72</v>
      </c>
    </row>
    <row r="9" spans="1:42" s="16" customFormat="1" x14ac:dyDescent="0.2">
      <c r="A9" s="29"/>
      <c r="B9" s="30"/>
      <c r="C9" s="31"/>
      <c r="D9" s="160"/>
      <c r="E9" s="161"/>
      <c r="F9" s="162" t="s">
        <v>72</v>
      </c>
      <c r="G9" s="159"/>
      <c r="H9" s="163"/>
      <c r="I9" s="162" t="s">
        <v>72</v>
      </c>
      <c r="J9" s="159"/>
      <c r="K9" s="161"/>
      <c r="L9" s="162" t="s">
        <v>72</v>
      </c>
      <c r="M9" s="164"/>
      <c r="N9" s="165"/>
      <c r="O9" s="162" t="s">
        <v>72</v>
      </c>
      <c r="P9" s="164"/>
      <c r="Q9" s="165"/>
      <c r="R9" s="162" t="s">
        <v>72</v>
      </c>
      <c r="S9" s="164"/>
      <c r="T9" s="165"/>
      <c r="U9" s="166" t="s">
        <v>72</v>
      </c>
      <c r="V9" s="164"/>
      <c r="W9" s="161"/>
      <c r="X9" s="162" t="s">
        <v>72</v>
      </c>
      <c r="Y9" s="164"/>
      <c r="Z9" s="161"/>
      <c r="AA9" s="162" t="s">
        <v>72</v>
      </c>
      <c r="AB9" s="164"/>
      <c r="AC9" s="161"/>
      <c r="AD9" s="162" t="s">
        <v>72</v>
      </c>
      <c r="AE9" s="164"/>
      <c r="AF9" s="161"/>
      <c r="AG9" s="162" t="s">
        <v>72</v>
      </c>
      <c r="AH9" s="164"/>
      <c r="AI9" s="161"/>
      <c r="AJ9" s="162" t="s">
        <v>72</v>
      </c>
      <c r="AK9" s="164"/>
      <c r="AL9" s="161"/>
      <c r="AM9" s="162" t="s">
        <v>72</v>
      </c>
      <c r="AN9" s="164"/>
      <c r="AO9" s="161"/>
      <c r="AP9" s="162" t="s">
        <v>72</v>
      </c>
    </row>
    <row r="10" spans="1:42" s="45" customFormat="1" ht="17" x14ac:dyDescent="0.2">
      <c r="A10" s="41" t="s">
        <v>9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20</v>
      </c>
      <c r="B11" s="47" t="s">
        <v>61</v>
      </c>
      <c r="C11" s="18"/>
      <c r="D11" s="73" t="s">
        <v>69</v>
      </c>
      <c r="E11" s="196"/>
      <c r="F11" s="197"/>
      <c r="G11" s="80" t="s">
        <v>69</v>
      </c>
      <c r="H11" s="200"/>
      <c r="I11" s="201"/>
      <c r="J11" s="80" t="s">
        <v>69</v>
      </c>
      <c r="K11" s="208"/>
      <c r="L11" s="209"/>
      <c r="M11" s="80" t="s">
        <v>69</v>
      </c>
      <c r="N11" s="208"/>
      <c r="O11" s="209"/>
      <c r="P11" s="80" t="s">
        <v>69</v>
      </c>
      <c r="Q11" s="208"/>
      <c r="R11" s="209"/>
      <c r="S11" s="80" t="s">
        <v>69</v>
      </c>
      <c r="T11" s="208"/>
      <c r="U11" s="209"/>
      <c r="V11" s="80" t="s">
        <v>69</v>
      </c>
      <c r="W11" s="208"/>
      <c r="X11" s="209"/>
      <c r="Y11" s="80" t="s">
        <v>69</v>
      </c>
      <c r="Z11" s="208"/>
      <c r="AA11" s="209"/>
      <c r="AB11" s="80" t="s">
        <v>69</v>
      </c>
      <c r="AC11" s="208"/>
      <c r="AD11" s="209"/>
      <c r="AE11" s="80" t="s">
        <v>69</v>
      </c>
      <c r="AF11" s="208"/>
      <c r="AG11" s="209"/>
      <c r="AH11" s="80" t="s">
        <v>69</v>
      </c>
      <c r="AI11" s="208"/>
      <c r="AJ11" s="209"/>
      <c r="AK11" s="80" t="s">
        <v>69</v>
      </c>
      <c r="AL11" s="208"/>
      <c r="AM11" s="209"/>
      <c r="AN11" s="80" t="s">
        <v>69</v>
      </c>
      <c r="AO11" s="208"/>
      <c r="AP11" s="209"/>
    </row>
    <row r="12" spans="1:42" s="21" customFormat="1" ht="17" x14ac:dyDescent="0.2">
      <c r="A12" s="20"/>
      <c r="B12" s="26" t="s">
        <v>23</v>
      </c>
      <c r="C12" s="19" t="s">
        <v>3</v>
      </c>
      <c r="D12" s="36" t="s">
        <v>5</v>
      </c>
      <c r="E12" s="93" t="s">
        <v>6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195"/>
      <c r="F13" s="195"/>
      <c r="G13" s="155"/>
      <c r="H13" s="198"/>
      <c r="I13" s="198"/>
      <c r="J13" s="155"/>
      <c r="K13" s="199"/>
      <c r="L13" s="199"/>
      <c r="M13" s="155"/>
      <c r="N13" s="199"/>
      <c r="O13" s="199"/>
      <c r="P13" s="155"/>
      <c r="Q13" s="199"/>
      <c r="R13" s="199"/>
      <c r="S13" s="155"/>
      <c r="T13" s="199"/>
      <c r="U13" s="199"/>
      <c r="V13" s="155"/>
      <c r="W13" s="199"/>
      <c r="X13" s="199"/>
      <c r="Y13" s="155"/>
      <c r="Z13" s="199"/>
      <c r="AA13" s="199"/>
      <c r="AB13" s="155"/>
      <c r="AC13" s="199"/>
      <c r="AD13" s="199"/>
      <c r="AE13" s="155"/>
      <c r="AF13" s="199"/>
      <c r="AG13" s="199"/>
      <c r="AH13" s="155"/>
      <c r="AI13" s="199"/>
      <c r="AJ13" s="199"/>
      <c r="AK13" s="155"/>
      <c r="AL13" s="199"/>
      <c r="AM13" s="199"/>
      <c r="AN13" s="155"/>
      <c r="AO13" s="199"/>
      <c r="AP13" s="199"/>
    </row>
    <row r="14" spans="1:42" ht="68" x14ac:dyDescent="0.2">
      <c r="A14" s="5" t="s">
        <v>1</v>
      </c>
      <c r="B14" s="27"/>
      <c r="C14" s="6">
        <v>0.5</v>
      </c>
      <c r="D14" s="154"/>
      <c r="E14" s="192"/>
      <c r="F14" s="192"/>
      <c r="G14" s="155"/>
      <c r="H14" s="198"/>
      <c r="I14" s="198"/>
      <c r="J14" s="155"/>
      <c r="K14" s="199"/>
      <c r="L14" s="199"/>
      <c r="M14" s="155"/>
      <c r="N14" s="199"/>
      <c r="O14" s="199"/>
      <c r="P14" s="155"/>
      <c r="Q14" s="199"/>
      <c r="R14" s="199"/>
      <c r="S14" s="155"/>
      <c r="T14" s="199"/>
      <c r="U14" s="199"/>
      <c r="V14" s="155"/>
      <c r="W14" s="199"/>
      <c r="X14" s="199"/>
      <c r="Y14" s="155"/>
      <c r="Z14" s="199"/>
      <c r="AA14" s="199"/>
      <c r="AB14" s="155"/>
      <c r="AC14" s="199"/>
      <c r="AD14" s="199"/>
      <c r="AE14" s="155"/>
      <c r="AF14" s="199"/>
      <c r="AG14" s="199"/>
      <c r="AH14" s="155"/>
      <c r="AI14" s="199"/>
      <c r="AJ14" s="199"/>
      <c r="AK14" s="155"/>
      <c r="AL14" s="199"/>
      <c r="AM14" s="199"/>
      <c r="AN14" s="155"/>
      <c r="AO14" s="199"/>
      <c r="AP14" s="199"/>
    </row>
    <row r="15" spans="1:42" ht="51" x14ac:dyDescent="0.2">
      <c r="A15" s="5" t="s">
        <v>95</v>
      </c>
      <c r="B15" s="27"/>
      <c r="C15" s="6">
        <v>0.5</v>
      </c>
      <c r="D15" s="154"/>
      <c r="E15" s="192"/>
      <c r="F15" s="192"/>
      <c r="G15" s="155"/>
      <c r="H15" s="198"/>
      <c r="I15" s="198"/>
      <c r="J15" s="155"/>
      <c r="K15" s="199"/>
      <c r="L15" s="199"/>
      <c r="M15" s="155"/>
      <c r="N15" s="199"/>
      <c r="O15" s="199"/>
      <c r="P15" s="155"/>
      <c r="Q15" s="199"/>
      <c r="R15" s="199"/>
      <c r="S15" s="155"/>
      <c r="T15" s="199"/>
      <c r="U15" s="199"/>
      <c r="V15" s="155"/>
      <c r="W15" s="199"/>
      <c r="X15" s="199"/>
      <c r="Y15" s="155"/>
      <c r="Z15" s="199"/>
      <c r="AA15" s="199"/>
      <c r="AB15" s="155"/>
      <c r="AC15" s="199"/>
      <c r="AD15" s="199"/>
      <c r="AE15" s="155"/>
      <c r="AF15" s="199"/>
      <c r="AG15" s="199"/>
      <c r="AH15" s="155"/>
      <c r="AI15" s="199"/>
      <c r="AJ15" s="199"/>
      <c r="AK15" s="155"/>
      <c r="AL15" s="199"/>
      <c r="AM15" s="199"/>
      <c r="AN15" s="155"/>
      <c r="AO15" s="199"/>
      <c r="AP15" s="199"/>
    </row>
    <row r="16" spans="1:42" ht="34" x14ac:dyDescent="0.2">
      <c r="A16" s="7" t="s">
        <v>2</v>
      </c>
      <c r="B16" s="40" t="s">
        <v>31</v>
      </c>
      <c r="C16" s="6">
        <f>SUM(C13:C15)</f>
        <v>2</v>
      </c>
      <c r="D16" s="156">
        <f>SUM(D13:D15)</f>
        <v>0</v>
      </c>
      <c r="E16" s="192"/>
      <c r="F16" s="192"/>
      <c r="G16" s="156">
        <f>SUM(G13:G15)</f>
        <v>0</v>
      </c>
      <c r="H16" s="198"/>
      <c r="I16" s="198"/>
      <c r="J16" s="156">
        <f>SUM(J13:J15)</f>
        <v>0</v>
      </c>
      <c r="K16" s="199"/>
      <c r="L16" s="199"/>
      <c r="M16" s="156">
        <f>SUM(M13:M15)</f>
        <v>0</v>
      </c>
      <c r="N16" s="217"/>
      <c r="O16" s="217"/>
      <c r="P16" s="156">
        <f>SUM(P13:P15)</f>
        <v>0</v>
      </c>
      <c r="Q16" s="217"/>
      <c r="R16" s="217"/>
      <c r="S16" s="156">
        <f>SUM(S13:S15)</f>
        <v>0</v>
      </c>
      <c r="T16" s="199"/>
      <c r="U16" s="199"/>
      <c r="V16" s="156">
        <f>SUM(V13:V15)</f>
        <v>0</v>
      </c>
      <c r="W16" s="199"/>
      <c r="X16" s="199"/>
      <c r="Y16" s="156">
        <f>SUM(Y13:Y15)</f>
        <v>0</v>
      </c>
      <c r="Z16" s="199"/>
      <c r="AA16" s="199"/>
      <c r="AB16" s="156">
        <f>SUM(AB13:AB15)</f>
        <v>0</v>
      </c>
      <c r="AC16" s="199"/>
      <c r="AD16" s="199"/>
      <c r="AE16" s="156">
        <f>SUM(AE13:AE15)</f>
        <v>0</v>
      </c>
      <c r="AF16" s="199"/>
      <c r="AG16" s="199"/>
      <c r="AH16" s="156">
        <f>SUM(AH13:AH15)</f>
        <v>0</v>
      </c>
      <c r="AI16" s="199"/>
      <c r="AJ16" s="199"/>
      <c r="AK16" s="156">
        <f>SUM(AK13:AK15)</f>
        <v>0</v>
      </c>
      <c r="AL16" s="199"/>
      <c r="AM16" s="199"/>
      <c r="AN16" s="156">
        <f>SUM(AN13:AN15)</f>
        <v>0</v>
      </c>
      <c r="AO16" s="199"/>
      <c r="AP16" s="199"/>
    </row>
    <row r="17" spans="1:42" s="45" customFormat="1" ht="17" x14ac:dyDescent="0.2">
      <c r="A17" s="41" t="s">
        <v>10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21</v>
      </c>
      <c r="B18" s="48" t="s">
        <v>48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46</v>
      </c>
      <c r="C20" s="2">
        <v>2</v>
      </c>
      <c r="D20" s="154"/>
      <c r="E20" s="192"/>
      <c r="F20" s="192"/>
      <c r="G20" s="155"/>
      <c r="H20" s="198"/>
      <c r="I20" s="198"/>
      <c r="J20" s="155"/>
      <c r="K20" s="199"/>
      <c r="L20" s="199"/>
      <c r="M20" s="155"/>
      <c r="N20" s="199"/>
      <c r="O20" s="199"/>
      <c r="P20" s="155"/>
      <c r="Q20" s="199"/>
      <c r="R20" s="199"/>
      <c r="S20" s="155"/>
      <c r="T20" s="199"/>
      <c r="U20" s="199"/>
      <c r="V20" s="155"/>
      <c r="W20" s="199"/>
      <c r="X20" s="199"/>
      <c r="Y20" s="155"/>
      <c r="Z20" s="199"/>
      <c r="AA20" s="199"/>
      <c r="AB20" s="155"/>
      <c r="AC20" s="199"/>
      <c r="AD20" s="199"/>
      <c r="AE20" s="155"/>
      <c r="AF20" s="216"/>
      <c r="AG20" s="216"/>
      <c r="AH20" s="155"/>
      <c r="AI20" s="216"/>
      <c r="AJ20" s="216"/>
      <c r="AK20" s="155"/>
      <c r="AL20" s="216"/>
      <c r="AM20" s="216"/>
      <c r="AN20" s="155"/>
      <c r="AO20" s="216"/>
      <c r="AP20" s="216"/>
    </row>
    <row r="21" spans="1:42" ht="51" x14ac:dyDescent="0.2">
      <c r="A21" s="1" t="s">
        <v>32</v>
      </c>
      <c r="C21" s="2">
        <v>1</v>
      </c>
      <c r="D21" s="154"/>
      <c r="E21" s="192"/>
      <c r="F21" s="192"/>
      <c r="G21" s="155"/>
      <c r="H21" s="198"/>
      <c r="I21" s="198"/>
      <c r="J21" s="155"/>
      <c r="K21" s="199"/>
      <c r="L21" s="199"/>
      <c r="M21" s="155"/>
      <c r="N21" s="199"/>
      <c r="O21" s="199"/>
      <c r="P21" s="155"/>
      <c r="Q21" s="199"/>
      <c r="R21" s="199"/>
      <c r="S21" s="155"/>
      <c r="T21" s="199"/>
      <c r="U21" s="199"/>
      <c r="V21" s="155"/>
      <c r="W21" s="199"/>
      <c r="X21" s="199"/>
      <c r="Y21" s="155"/>
      <c r="Z21" s="199"/>
      <c r="AA21" s="199"/>
      <c r="AB21" s="155"/>
      <c r="AC21" s="199"/>
      <c r="AD21" s="199"/>
      <c r="AE21" s="155"/>
      <c r="AF21" s="216"/>
      <c r="AG21" s="216"/>
      <c r="AH21" s="155"/>
      <c r="AI21" s="216"/>
      <c r="AJ21" s="216"/>
      <c r="AK21" s="155"/>
      <c r="AL21" s="216"/>
      <c r="AM21" s="216"/>
      <c r="AN21" s="155"/>
      <c r="AO21" s="216"/>
      <c r="AP21" s="216"/>
    </row>
    <row r="22" spans="1:42" ht="68" x14ac:dyDescent="0.2">
      <c r="A22" s="1" t="s">
        <v>7</v>
      </c>
      <c r="C22" s="2">
        <v>1</v>
      </c>
      <c r="D22" s="154"/>
      <c r="E22" s="192"/>
      <c r="F22" s="192"/>
      <c r="G22" s="155"/>
      <c r="H22" s="198"/>
      <c r="I22" s="198"/>
      <c r="J22" s="155"/>
      <c r="K22" s="199"/>
      <c r="L22" s="199"/>
      <c r="M22" s="155"/>
      <c r="N22" s="199"/>
      <c r="O22" s="199"/>
      <c r="P22" s="155"/>
      <c r="Q22" s="199"/>
      <c r="R22" s="199"/>
      <c r="S22" s="155"/>
      <c r="T22" s="199"/>
      <c r="U22" s="199"/>
      <c r="V22" s="155"/>
      <c r="W22" s="199"/>
      <c r="X22" s="199"/>
      <c r="Y22" s="155"/>
      <c r="Z22" s="199"/>
      <c r="AA22" s="199"/>
      <c r="AB22" s="155"/>
      <c r="AC22" s="199"/>
      <c r="AD22" s="199"/>
      <c r="AE22" s="155"/>
      <c r="AF22" s="216"/>
      <c r="AG22" s="216"/>
      <c r="AH22" s="155"/>
      <c r="AI22" s="216"/>
      <c r="AJ22" s="216"/>
      <c r="AK22" s="155"/>
      <c r="AL22" s="216"/>
      <c r="AM22" s="216"/>
      <c r="AN22" s="155"/>
      <c r="AO22" s="216"/>
      <c r="AP22" s="216"/>
    </row>
    <row r="23" spans="1:42" ht="85" x14ac:dyDescent="0.2">
      <c r="A23" s="1" t="s">
        <v>68</v>
      </c>
      <c r="C23" s="2">
        <v>1</v>
      </c>
      <c r="D23" s="154"/>
      <c r="E23" s="192"/>
      <c r="F23" s="192"/>
      <c r="G23" s="155"/>
      <c r="H23" s="198"/>
      <c r="I23" s="198"/>
      <c r="J23" s="155"/>
      <c r="K23" s="199"/>
      <c r="L23" s="199"/>
      <c r="M23" s="155"/>
      <c r="N23" s="199"/>
      <c r="O23" s="199"/>
      <c r="P23" s="155"/>
      <c r="Q23" s="199"/>
      <c r="R23" s="199"/>
      <c r="S23" s="155"/>
      <c r="T23" s="199"/>
      <c r="U23" s="199"/>
      <c r="V23" s="155"/>
      <c r="W23" s="199"/>
      <c r="X23" s="199"/>
      <c r="Y23" s="155"/>
      <c r="Z23" s="199"/>
      <c r="AA23" s="199"/>
      <c r="AB23" s="155"/>
      <c r="AC23" s="199"/>
      <c r="AD23" s="199"/>
      <c r="AE23" s="155"/>
      <c r="AF23" s="216"/>
      <c r="AG23" s="216"/>
      <c r="AH23" s="155"/>
      <c r="AI23" s="216"/>
      <c r="AJ23" s="216"/>
      <c r="AK23" s="155"/>
      <c r="AL23" s="216"/>
      <c r="AM23" s="216"/>
      <c r="AN23" s="155"/>
      <c r="AO23" s="216"/>
      <c r="AP23" s="216"/>
    </row>
    <row r="24" spans="1:42" ht="51" x14ac:dyDescent="0.2">
      <c r="A24" s="1" t="s">
        <v>45</v>
      </c>
      <c r="C24" s="2">
        <v>2</v>
      </c>
      <c r="D24" s="154"/>
      <c r="E24" s="192"/>
      <c r="F24" s="192"/>
      <c r="G24" s="155"/>
      <c r="H24" s="198"/>
      <c r="I24" s="198"/>
      <c r="J24" s="155"/>
      <c r="K24" s="199"/>
      <c r="L24" s="199"/>
      <c r="M24" s="155"/>
      <c r="N24" s="199"/>
      <c r="O24" s="199"/>
      <c r="P24" s="155"/>
      <c r="Q24" s="199"/>
      <c r="R24" s="199"/>
      <c r="S24" s="155"/>
      <c r="T24" s="199"/>
      <c r="U24" s="199"/>
      <c r="V24" s="155"/>
      <c r="W24" s="199"/>
      <c r="X24" s="199"/>
      <c r="Y24" s="155"/>
      <c r="Z24" s="199"/>
      <c r="AA24" s="199"/>
      <c r="AB24" s="155"/>
      <c r="AC24" s="199"/>
      <c r="AD24" s="199"/>
      <c r="AE24" s="155"/>
      <c r="AF24" s="216"/>
      <c r="AG24" s="216"/>
      <c r="AH24" s="155"/>
      <c r="AI24" s="216"/>
      <c r="AJ24" s="216"/>
      <c r="AK24" s="155"/>
      <c r="AL24" s="216"/>
      <c r="AM24" s="216"/>
      <c r="AN24" s="155"/>
      <c r="AO24" s="216"/>
      <c r="AP24" s="216"/>
    </row>
    <row r="25" spans="1:42" ht="119" x14ac:dyDescent="0.2">
      <c r="A25" s="1" t="s">
        <v>4</v>
      </c>
      <c r="C25" s="2">
        <v>1</v>
      </c>
      <c r="D25" s="154"/>
      <c r="E25" s="192"/>
      <c r="F25" s="192"/>
      <c r="G25" s="155"/>
      <c r="H25" s="198"/>
      <c r="I25" s="198"/>
      <c r="J25" s="155"/>
      <c r="K25" s="199"/>
      <c r="L25" s="199"/>
      <c r="M25" s="155"/>
      <c r="N25" s="199"/>
      <c r="O25" s="199"/>
      <c r="P25" s="155"/>
      <c r="Q25" s="199"/>
      <c r="R25" s="199"/>
      <c r="S25" s="155"/>
      <c r="T25" s="199"/>
      <c r="U25" s="199"/>
      <c r="V25" s="155"/>
      <c r="W25" s="199"/>
      <c r="X25" s="199"/>
      <c r="Y25" s="155"/>
      <c r="Z25" s="199"/>
      <c r="AA25" s="199"/>
      <c r="AB25" s="155"/>
      <c r="AC25" s="199"/>
      <c r="AD25" s="199"/>
      <c r="AE25" s="155"/>
      <c r="AF25" s="216"/>
      <c r="AG25" s="216"/>
      <c r="AH25" s="155"/>
      <c r="AI25" s="216"/>
      <c r="AJ25" s="216"/>
      <c r="AK25" s="155"/>
      <c r="AL25" s="216"/>
      <c r="AM25" s="216"/>
      <c r="AN25" s="155"/>
      <c r="AO25" s="216"/>
      <c r="AP25" s="216"/>
    </row>
    <row r="26" spans="1:42" ht="34" x14ac:dyDescent="0.2">
      <c r="A26" s="8" t="s">
        <v>8</v>
      </c>
      <c r="B26" s="28" t="s">
        <v>30</v>
      </c>
      <c r="C26" s="6">
        <f>SUM(C20:C25)</f>
        <v>8</v>
      </c>
      <c r="D26" s="156">
        <f>SUM(D20:D25)</f>
        <v>0</v>
      </c>
      <c r="E26" s="192"/>
      <c r="F26" s="192"/>
      <c r="G26" s="156">
        <f>SUM(G20:G25)</f>
        <v>0</v>
      </c>
      <c r="H26" s="198"/>
      <c r="I26" s="198"/>
      <c r="J26" s="156">
        <f>SUM(J20:J25)</f>
        <v>0</v>
      </c>
      <c r="K26" s="199"/>
      <c r="L26" s="199"/>
      <c r="M26" s="156">
        <f>SUM(M20:M25)</f>
        <v>0</v>
      </c>
      <c r="N26" s="199"/>
      <c r="O26" s="199"/>
      <c r="P26" s="156">
        <f>SUM(P20:P25)</f>
        <v>0</v>
      </c>
      <c r="Q26" s="199"/>
      <c r="R26" s="199"/>
      <c r="S26" s="156">
        <f>SUM(S20:S25)</f>
        <v>0</v>
      </c>
      <c r="T26" s="199"/>
      <c r="U26" s="199"/>
      <c r="V26" s="156">
        <f>SUM(V20:V25)</f>
        <v>0</v>
      </c>
      <c r="W26" s="199"/>
      <c r="X26" s="199"/>
      <c r="Y26" s="156">
        <f>SUM(Y20:Y25)</f>
        <v>0</v>
      </c>
      <c r="Z26" s="199"/>
      <c r="AA26" s="199"/>
      <c r="AB26" s="156">
        <f>SUM(AB20:AB25)</f>
        <v>0</v>
      </c>
      <c r="AC26" s="199"/>
      <c r="AD26" s="199"/>
      <c r="AE26" s="156">
        <f>SUM(AE20:AE25)</f>
        <v>0</v>
      </c>
      <c r="AF26" s="216"/>
      <c r="AG26" s="216"/>
      <c r="AH26" s="156">
        <f>SUM(AH20:AH25)</f>
        <v>0</v>
      </c>
      <c r="AI26" s="216"/>
      <c r="AJ26" s="216"/>
      <c r="AK26" s="156">
        <f>SUM(AK20:AK25)</f>
        <v>0</v>
      </c>
      <c r="AL26" s="216"/>
      <c r="AM26" s="216"/>
      <c r="AN26" s="156">
        <f>SUM(AN20:AN25)</f>
        <v>0</v>
      </c>
      <c r="AO26" s="216"/>
      <c r="AP26" s="216"/>
    </row>
    <row r="27" spans="1:42" s="45" customFormat="1" ht="17" x14ac:dyDescent="0.2">
      <c r="A27" s="41" t="s">
        <v>11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65</v>
      </c>
      <c r="B28" s="57" t="s">
        <v>64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22</v>
      </c>
      <c r="B30" s="49"/>
      <c r="C30" s="2">
        <v>2</v>
      </c>
      <c r="D30" s="154"/>
      <c r="E30" s="192"/>
      <c r="F30" s="192"/>
      <c r="G30" s="155"/>
      <c r="H30" s="198"/>
      <c r="I30" s="198"/>
      <c r="J30" s="155"/>
      <c r="K30" s="199"/>
      <c r="L30" s="199"/>
      <c r="M30" s="155"/>
      <c r="N30" s="216"/>
      <c r="O30" s="216"/>
      <c r="P30" s="155"/>
      <c r="Q30" s="199"/>
      <c r="R30" s="199"/>
      <c r="S30" s="155"/>
      <c r="T30" s="199"/>
      <c r="U30" s="199"/>
      <c r="V30" s="155"/>
      <c r="W30" s="199"/>
      <c r="X30" s="199"/>
      <c r="Y30" s="155"/>
      <c r="Z30" s="199"/>
      <c r="AA30" s="199"/>
      <c r="AB30" s="155"/>
      <c r="AC30" s="199"/>
      <c r="AD30" s="199"/>
      <c r="AE30" s="155"/>
      <c r="AF30" s="216"/>
      <c r="AG30" s="216"/>
      <c r="AH30" s="241"/>
      <c r="AI30" s="216"/>
      <c r="AJ30" s="216"/>
      <c r="AK30" s="155"/>
      <c r="AL30" s="216"/>
      <c r="AM30" s="216"/>
      <c r="AN30" s="155"/>
      <c r="AO30" s="216"/>
      <c r="AP30" s="216"/>
    </row>
    <row r="31" spans="1:42" ht="119" x14ac:dyDescent="0.2">
      <c r="A31" s="1" t="s">
        <v>25</v>
      </c>
      <c r="B31" s="49"/>
      <c r="C31" s="2">
        <v>3.5</v>
      </c>
      <c r="D31" s="154"/>
      <c r="E31" s="192"/>
      <c r="F31" s="192"/>
      <c r="G31" s="155"/>
      <c r="H31" s="198"/>
      <c r="I31" s="198"/>
      <c r="J31" s="155"/>
      <c r="K31" s="199"/>
      <c r="L31" s="199"/>
      <c r="M31" s="155"/>
      <c r="N31" s="216"/>
      <c r="O31" s="216"/>
      <c r="P31" s="155"/>
      <c r="Q31" s="199"/>
      <c r="R31" s="199"/>
      <c r="S31" s="155"/>
      <c r="T31" s="199"/>
      <c r="U31" s="199"/>
      <c r="V31" s="155"/>
      <c r="W31" s="199"/>
      <c r="X31" s="199"/>
      <c r="Y31" s="155"/>
      <c r="Z31" s="199"/>
      <c r="AA31" s="199"/>
      <c r="AB31" s="155"/>
      <c r="AC31" s="199"/>
      <c r="AD31" s="199"/>
      <c r="AE31" s="155"/>
      <c r="AF31" s="216"/>
      <c r="AG31" s="216"/>
      <c r="AH31" s="241"/>
      <c r="AI31" s="216"/>
      <c r="AJ31" s="216"/>
      <c r="AK31" s="155"/>
      <c r="AL31" s="216"/>
      <c r="AM31" s="216"/>
      <c r="AN31" s="155"/>
      <c r="AO31" s="216"/>
      <c r="AP31" s="216"/>
    </row>
    <row r="32" spans="1:42" ht="119" x14ac:dyDescent="0.2">
      <c r="A32" s="74" t="s">
        <v>29</v>
      </c>
      <c r="B32" s="49" t="s">
        <v>66</v>
      </c>
      <c r="C32" s="2">
        <v>3.5</v>
      </c>
      <c r="D32" s="154"/>
      <c r="E32" s="192"/>
      <c r="F32" s="192"/>
      <c r="G32" s="155"/>
      <c r="H32" s="198"/>
      <c r="I32" s="198"/>
      <c r="J32" s="155"/>
      <c r="K32" s="199"/>
      <c r="L32" s="199"/>
      <c r="M32" s="155"/>
      <c r="N32" s="216"/>
      <c r="O32" s="216"/>
      <c r="P32" s="155"/>
      <c r="Q32" s="199"/>
      <c r="R32" s="199"/>
      <c r="S32" s="155"/>
      <c r="T32" s="199"/>
      <c r="U32" s="199"/>
      <c r="V32" s="155"/>
      <c r="W32" s="199"/>
      <c r="X32" s="199"/>
      <c r="Y32" s="155"/>
      <c r="Z32" s="199"/>
      <c r="AA32" s="199"/>
      <c r="AB32" s="155"/>
      <c r="AC32" s="199"/>
      <c r="AD32" s="199"/>
      <c r="AE32" s="155"/>
      <c r="AF32" s="216"/>
      <c r="AG32" s="216"/>
      <c r="AH32" s="241"/>
      <c r="AI32" s="216"/>
      <c r="AJ32" s="216"/>
      <c r="AK32" s="155"/>
      <c r="AL32" s="216"/>
      <c r="AM32" s="216"/>
      <c r="AN32" s="155"/>
      <c r="AO32" s="216"/>
      <c r="AP32" s="216"/>
    </row>
    <row r="33" spans="1:42" ht="102" x14ac:dyDescent="0.2">
      <c r="A33" s="1" t="s">
        <v>28</v>
      </c>
      <c r="B33" s="49"/>
      <c r="C33" s="2">
        <v>2</v>
      </c>
      <c r="D33" s="154"/>
      <c r="E33" s="192"/>
      <c r="F33" s="192"/>
      <c r="G33" s="155"/>
      <c r="H33" s="198"/>
      <c r="I33" s="198"/>
      <c r="J33" s="155"/>
      <c r="K33" s="199"/>
      <c r="L33" s="199"/>
      <c r="M33" s="155"/>
      <c r="N33" s="216"/>
      <c r="O33" s="216"/>
      <c r="P33" s="155"/>
      <c r="Q33" s="199"/>
      <c r="R33" s="199"/>
      <c r="S33" s="155"/>
      <c r="T33" s="199"/>
      <c r="U33" s="199"/>
      <c r="V33" s="155"/>
      <c r="W33" s="199"/>
      <c r="X33" s="199"/>
      <c r="Y33" s="155"/>
      <c r="Z33" s="199"/>
      <c r="AA33" s="199"/>
      <c r="AB33" s="155"/>
      <c r="AC33" s="199"/>
      <c r="AD33" s="199"/>
      <c r="AE33" s="155"/>
      <c r="AF33" s="216"/>
      <c r="AG33" s="216"/>
      <c r="AH33" s="241"/>
      <c r="AI33" s="216"/>
      <c r="AJ33" s="216"/>
      <c r="AK33" s="155"/>
      <c r="AL33" s="216"/>
      <c r="AM33" s="216"/>
      <c r="AN33" s="155"/>
      <c r="AO33" s="216"/>
      <c r="AP33" s="216"/>
    </row>
    <row r="34" spans="1:42" ht="68" x14ac:dyDescent="0.2">
      <c r="A34" s="1" t="s">
        <v>26</v>
      </c>
      <c r="B34" s="49"/>
      <c r="C34" s="2">
        <v>2</v>
      </c>
      <c r="D34" s="154"/>
      <c r="E34" s="192"/>
      <c r="F34" s="192"/>
      <c r="G34" s="155"/>
      <c r="H34" s="198"/>
      <c r="I34" s="198"/>
      <c r="J34" s="155"/>
      <c r="K34" s="199"/>
      <c r="L34" s="199"/>
      <c r="M34" s="155"/>
      <c r="N34" s="216"/>
      <c r="O34" s="216"/>
      <c r="P34" s="155"/>
      <c r="Q34" s="199"/>
      <c r="R34" s="199"/>
      <c r="S34" s="155"/>
      <c r="T34" s="199"/>
      <c r="U34" s="199"/>
      <c r="V34" s="155"/>
      <c r="W34" s="199"/>
      <c r="X34" s="199"/>
      <c r="Y34" s="155"/>
      <c r="Z34" s="199"/>
      <c r="AA34" s="199"/>
      <c r="AB34" s="155"/>
      <c r="AC34" s="199"/>
      <c r="AD34" s="199"/>
      <c r="AE34" s="155"/>
      <c r="AF34" s="216"/>
      <c r="AG34" s="216"/>
      <c r="AH34" s="241"/>
      <c r="AI34" s="216"/>
      <c r="AJ34" s="216"/>
      <c r="AK34" s="155"/>
      <c r="AL34" s="216"/>
      <c r="AM34" s="216"/>
      <c r="AN34" s="155"/>
      <c r="AO34" s="216"/>
      <c r="AP34" s="216"/>
    </row>
    <row r="35" spans="1:42" ht="119" x14ac:dyDescent="0.2">
      <c r="A35" s="74" t="s">
        <v>89</v>
      </c>
      <c r="B35" s="49"/>
      <c r="C35" s="2">
        <v>1</v>
      </c>
      <c r="D35" s="154"/>
      <c r="E35" s="192"/>
      <c r="F35" s="192"/>
      <c r="G35" s="155"/>
      <c r="H35" s="198"/>
      <c r="I35" s="198"/>
      <c r="J35" s="155"/>
      <c r="K35" s="199"/>
      <c r="L35" s="199"/>
      <c r="M35" s="155"/>
      <c r="N35" s="216"/>
      <c r="O35" s="216"/>
      <c r="P35" s="155"/>
      <c r="Q35" s="199"/>
      <c r="R35" s="199"/>
      <c r="S35" s="155"/>
      <c r="T35" s="199"/>
      <c r="U35" s="199"/>
      <c r="V35" s="155"/>
      <c r="W35" s="199"/>
      <c r="X35" s="199"/>
      <c r="Y35" s="155"/>
      <c r="Z35" s="199"/>
      <c r="AA35" s="199"/>
      <c r="AB35" s="155"/>
      <c r="AC35" s="199"/>
      <c r="AD35" s="199"/>
      <c r="AE35" s="155"/>
      <c r="AF35" s="216"/>
      <c r="AG35" s="216"/>
      <c r="AH35" s="241"/>
      <c r="AI35" s="216"/>
      <c r="AJ35" s="216"/>
      <c r="AK35" s="155"/>
      <c r="AL35" s="216"/>
      <c r="AM35" s="216"/>
      <c r="AN35" s="155"/>
      <c r="AO35" s="216"/>
      <c r="AP35" s="216"/>
    </row>
    <row r="36" spans="1:42" ht="68" x14ac:dyDescent="0.2">
      <c r="A36" s="1" t="s">
        <v>90</v>
      </c>
      <c r="B36" s="49"/>
      <c r="C36" s="2">
        <v>1</v>
      </c>
      <c r="D36" s="154"/>
      <c r="E36" s="192"/>
      <c r="F36" s="192"/>
      <c r="G36" s="155"/>
      <c r="H36" s="198"/>
      <c r="I36" s="198"/>
      <c r="J36" s="155"/>
      <c r="K36" s="199"/>
      <c r="L36" s="199"/>
      <c r="M36" s="155"/>
      <c r="N36" s="216"/>
      <c r="O36" s="216"/>
      <c r="P36" s="155"/>
      <c r="Q36" s="199"/>
      <c r="R36" s="199"/>
      <c r="S36" s="155"/>
      <c r="T36" s="199"/>
      <c r="U36" s="199"/>
      <c r="V36" s="155"/>
      <c r="W36" s="199"/>
      <c r="X36" s="199"/>
      <c r="Y36" s="155"/>
      <c r="Z36" s="199"/>
      <c r="AA36" s="199"/>
      <c r="AB36" s="155"/>
      <c r="AC36" s="199"/>
      <c r="AD36" s="199"/>
      <c r="AE36" s="155"/>
      <c r="AF36" s="216"/>
      <c r="AG36" s="216"/>
      <c r="AH36" s="241"/>
      <c r="AI36" s="216"/>
      <c r="AJ36" s="216"/>
      <c r="AK36" s="155"/>
      <c r="AL36" s="216"/>
      <c r="AM36" s="216"/>
      <c r="AN36" s="155"/>
      <c r="AO36" s="216"/>
      <c r="AP36" s="216"/>
    </row>
    <row r="37" spans="1:42" ht="17" x14ac:dyDescent="0.2">
      <c r="A37" s="8" t="s">
        <v>24</v>
      </c>
      <c r="B37" s="28" t="s">
        <v>47</v>
      </c>
      <c r="C37" s="2">
        <f>SUM(C30:C36)</f>
        <v>15</v>
      </c>
      <c r="D37" s="157">
        <f>SUM(D30:D36)</f>
        <v>0</v>
      </c>
      <c r="E37" s="192"/>
      <c r="F37" s="192"/>
      <c r="G37" s="157">
        <f>SUM(G30:G36)</f>
        <v>0</v>
      </c>
      <c r="H37" s="198"/>
      <c r="I37" s="198"/>
      <c r="J37" s="156">
        <f>SUM(J30:J36)</f>
        <v>0</v>
      </c>
      <c r="K37" s="199"/>
      <c r="L37" s="199"/>
      <c r="M37" s="157">
        <f>SUM(M30:M36)</f>
        <v>0</v>
      </c>
      <c r="N37" s="218"/>
      <c r="O37" s="218"/>
      <c r="P37" s="157">
        <f>SUM(P30:P36)</f>
        <v>0</v>
      </c>
      <c r="Q37" s="199"/>
      <c r="R37" s="199"/>
      <c r="S37" s="157">
        <f>SUM(S30:S36)</f>
        <v>0</v>
      </c>
      <c r="T37" s="199"/>
      <c r="U37" s="199"/>
      <c r="V37" s="157">
        <f>SUM(V30:V36)</f>
        <v>0</v>
      </c>
      <c r="W37" s="216"/>
      <c r="X37" s="216"/>
      <c r="Y37" s="157">
        <f>SUM(Y30:Y36)</f>
        <v>0</v>
      </c>
      <c r="Z37" s="199"/>
      <c r="AA37" s="199"/>
      <c r="AB37" s="157">
        <f>SUM(AB30:AB36)</f>
        <v>0</v>
      </c>
      <c r="AC37" s="216"/>
      <c r="AD37" s="216"/>
      <c r="AE37" s="157">
        <f>SUM(AE30:AE36)</f>
        <v>0</v>
      </c>
      <c r="AF37" s="216"/>
      <c r="AG37" s="216"/>
      <c r="AH37" s="157">
        <f>SUM(AH30:AH36)</f>
        <v>0</v>
      </c>
      <c r="AI37" s="216"/>
      <c r="AJ37" s="216"/>
      <c r="AK37" s="157">
        <f>SUM(AK30:AK36)</f>
        <v>0</v>
      </c>
      <c r="AL37" s="216"/>
      <c r="AM37" s="216"/>
      <c r="AN37" s="157">
        <f>SUM(AN30:AN36)</f>
        <v>0</v>
      </c>
      <c r="AO37" s="216"/>
      <c r="AP37" s="216"/>
    </row>
    <row r="38" spans="1:42" s="45" customFormat="1" ht="17" x14ac:dyDescent="0.2">
      <c r="A38" s="41" t="s">
        <v>27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9</v>
      </c>
      <c r="B39" s="123"/>
      <c r="C39" s="2">
        <f>C16</f>
        <v>2</v>
      </c>
      <c r="D39" s="124">
        <f>D16</f>
        <v>0</v>
      </c>
      <c r="E39" s="193" t="str">
        <f>"(" &amp; TEXT(D39/$C39, "0,0 %") &amp; ")"</f>
        <v>(0,0 %)</v>
      </c>
      <c r="F39" s="194"/>
      <c r="G39" s="125">
        <f>G16</f>
        <v>0</v>
      </c>
      <c r="H39" s="193" t="str">
        <f>"(" &amp; TEXT(G39/$C39, "0,0 %") &amp; ")"</f>
        <v>(0,0 %)</v>
      </c>
      <c r="I39" s="194"/>
      <c r="J39" s="128">
        <f>J16</f>
        <v>0</v>
      </c>
      <c r="K39" s="214" t="str">
        <f>"(" &amp; TEXT(J39/$C39, "0,0 %") &amp; ")"</f>
        <v>(0,0 %)</v>
      </c>
      <c r="L39" s="215"/>
      <c r="M39" s="128">
        <f>M16</f>
        <v>0</v>
      </c>
      <c r="N39" s="214" t="str">
        <f>"(" &amp; TEXT(M39/$C39, "0,0 %") &amp; ")"</f>
        <v>(0,0 %)</v>
      </c>
      <c r="O39" s="215"/>
      <c r="P39" s="128">
        <f>P16</f>
        <v>0</v>
      </c>
      <c r="Q39" s="214" t="str">
        <f>"(" &amp; TEXT(P39/$C39, "0,0 %") &amp; ")"</f>
        <v>(0,0 %)</v>
      </c>
      <c r="R39" s="215"/>
      <c r="S39" s="128">
        <f>S16</f>
        <v>0</v>
      </c>
      <c r="T39" s="214" t="str">
        <f>"(" &amp; TEXT(S39/$C39, "0,0 %") &amp; ")"</f>
        <v>(0,0 %)</v>
      </c>
      <c r="U39" s="215"/>
      <c r="V39" s="128">
        <f>V16</f>
        <v>0</v>
      </c>
      <c r="W39" s="214" t="str">
        <f>"(" &amp; TEXT(V39/$C39, "0,0 %") &amp; ")"</f>
        <v>(0,0 %)</v>
      </c>
      <c r="X39" s="215"/>
      <c r="Y39" s="128">
        <f>Y16</f>
        <v>0</v>
      </c>
      <c r="Z39" s="214" t="str">
        <f>"(" &amp; TEXT(Y39/$C39, "0,0 %") &amp; ")"</f>
        <v>(0,0 %)</v>
      </c>
      <c r="AA39" s="215"/>
      <c r="AB39" s="128">
        <f>AB16</f>
        <v>0</v>
      </c>
      <c r="AC39" s="214" t="str">
        <f>"(" &amp; TEXT(AB39/$C39, "0,0 %") &amp; ")"</f>
        <v>(0,0 %)</v>
      </c>
      <c r="AD39" s="215"/>
      <c r="AE39" s="128">
        <f>AE16</f>
        <v>0</v>
      </c>
      <c r="AF39" s="214" t="str">
        <f>"(" &amp; TEXT(AE39/$C39, "0,0 %") &amp; ")"</f>
        <v>(0,0 %)</v>
      </c>
      <c r="AG39" s="215"/>
      <c r="AH39" s="128">
        <f>AH16</f>
        <v>0</v>
      </c>
      <c r="AI39" s="214" t="str">
        <f>"(" &amp; TEXT(AH39/$C39, "0,0 %") &amp; ")"</f>
        <v>(0,0 %)</v>
      </c>
      <c r="AJ39" s="215"/>
      <c r="AK39" s="128">
        <f>AK16</f>
        <v>0</v>
      </c>
      <c r="AL39" s="214" t="str">
        <f>"(" &amp; TEXT(AK39/$C39, "0,0 %") &amp; ")"</f>
        <v>(0,0 %)</v>
      </c>
      <c r="AM39" s="215"/>
      <c r="AN39" s="128">
        <f>AN16</f>
        <v>0</v>
      </c>
      <c r="AO39" s="214" t="str">
        <f>"(" &amp; TEXT(AN39/$C39, "0,0 %") &amp; ")"</f>
        <v>(0,0 %)</v>
      </c>
      <c r="AP39" s="215"/>
    </row>
    <row r="40" spans="1:42" s="126" customFormat="1" ht="17" x14ac:dyDescent="0.2">
      <c r="A40" s="127" t="s">
        <v>10</v>
      </c>
      <c r="B40" s="123"/>
      <c r="C40" s="2">
        <f>C26</f>
        <v>8</v>
      </c>
      <c r="D40" s="124">
        <f>D26</f>
        <v>0</v>
      </c>
      <c r="E40" s="193" t="str">
        <f>"(" &amp; TEXT(D40/$C40, "0,0 %") &amp; ")"</f>
        <v>(0,0 %)</v>
      </c>
      <c r="F40" s="194"/>
      <c r="G40" s="125">
        <f>G26</f>
        <v>0</v>
      </c>
      <c r="H40" s="193" t="str">
        <f t="shared" ref="H40:H41" si="60">"(" &amp; TEXT(G40/$C40, "0,0 %") &amp; ")"</f>
        <v>(0,0 %)</v>
      </c>
      <c r="I40" s="194"/>
      <c r="J40" s="128">
        <f>J26</f>
        <v>0</v>
      </c>
      <c r="K40" s="214" t="str">
        <f t="shared" ref="K40" si="61">"(" &amp; TEXT(J40/$C40, "0,0 %") &amp; ")"</f>
        <v>(0,0 %)</v>
      </c>
      <c r="L40" s="215"/>
      <c r="M40" s="128">
        <f>M26</f>
        <v>0</v>
      </c>
      <c r="N40" s="214" t="str">
        <f t="shared" ref="N40" si="62">"(" &amp; TEXT(M40/$C40, "0,0 %") &amp; ")"</f>
        <v>(0,0 %)</v>
      </c>
      <c r="O40" s="215"/>
      <c r="P40" s="128">
        <f>P26</f>
        <v>0</v>
      </c>
      <c r="Q40" s="214" t="str">
        <f t="shared" ref="Q40" si="63">"(" &amp; TEXT(P40/$C40, "0,0 %") &amp; ")"</f>
        <v>(0,0 %)</v>
      </c>
      <c r="R40" s="215"/>
      <c r="S40" s="128">
        <f>S26</f>
        <v>0</v>
      </c>
      <c r="T40" s="214" t="str">
        <f t="shared" ref="T40" si="64">"(" &amp; TEXT(S40/$C40, "0,0 %") &amp; ")"</f>
        <v>(0,0 %)</v>
      </c>
      <c r="U40" s="215"/>
      <c r="V40" s="128">
        <f>V26</f>
        <v>0</v>
      </c>
      <c r="W40" s="214" t="str">
        <f t="shared" ref="W40" si="65">"(" &amp; TEXT(V40/$C40, "0,0 %") &amp; ")"</f>
        <v>(0,0 %)</v>
      </c>
      <c r="X40" s="215"/>
      <c r="Y40" s="128">
        <f>Y26</f>
        <v>0</v>
      </c>
      <c r="Z40" s="214" t="str">
        <f t="shared" ref="Z40" si="66">"(" &amp; TEXT(Y40/$C40, "0,0 %") &amp; ")"</f>
        <v>(0,0 %)</v>
      </c>
      <c r="AA40" s="215"/>
      <c r="AB40" s="128">
        <f>AB26</f>
        <v>0</v>
      </c>
      <c r="AC40" s="214" t="str">
        <f t="shared" ref="AC40" si="67">"(" &amp; TEXT(AB40/$C40, "0,0 %") &amp; ")"</f>
        <v>(0,0 %)</v>
      </c>
      <c r="AD40" s="215"/>
      <c r="AE40" s="128">
        <f>AE26</f>
        <v>0</v>
      </c>
      <c r="AF40" s="214" t="str">
        <f t="shared" ref="AF40" si="68">"(" &amp; TEXT(AE40/$C40, "0,0 %") &amp; ")"</f>
        <v>(0,0 %)</v>
      </c>
      <c r="AG40" s="215"/>
      <c r="AH40" s="128">
        <f>AH26</f>
        <v>0</v>
      </c>
      <c r="AI40" s="214" t="str">
        <f t="shared" ref="AI40:AI41" si="69">"(" &amp; TEXT(AH40/$C40, "0,0 %") &amp; ")"</f>
        <v>(0,0 %)</v>
      </c>
      <c r="AJ40" s="215"/>
      <c r="AK40" s="128">
        <f>AK26</f>
        <v>0</v>
      </c>
      <c r="AL40" s="214" t="str">
        <f t="shared" ref="AL40:AL41" si="70">"(" &amp; TEXT(AK40/$C40, "0,0 %") &amp; ")"</f>
        <v>(0,0 %)</v>
      </c>
      <c r="AM40" s="215"/>
      <c r="AN40" s="128">
        <f>AN26</f>
        <v>0</v>
      </c>
      <c r="AO40" s="214" t="str">
        <f t="shared" ref="AO40:AO41" si="71">"(" &amp; TEXT(AN40/$C40, "0,0 %") &amp; ")"</f>
        <v>(0,0 %)</v>
      </c>
      <c r="AP40" s="215"/>
    </row>
    <row r="41" spans="1:42" s="134" customFormat="1" ht="18" thickBot="1" x14ac:dyDescent="0.25">
      <c r="A41" s="129" t="s">
        <v>11</v>
      </c>
      <c r="B41" s="130"/>
      <c r="C41" s="4">
        <f>C37</f>
        <v>15</v>
      </c>
      <c r="D41" s="131">
        <f>D37</f>
        <v>0</v>
      </c>
      <c r="E41" s="188" t="str">
        <f>"(" &amp; TEXT(D41/$C41, "0,0 %") &amp; ")"</f>
        <v>(0,0 %)</v>
      </c>
      <c r="F41" s="189"/>
      <c r="G41" s="132">
        <f>G37</f>
        <v>0</v>
      </c>
      <c r="H41" s="188" t="str">
        <f t="shared" si="60"/>
        <v>(0,0 %)</v>
      </c>
      <c r="I41" s="189"/>
      <c r="J41" s="133">
        <f>J37</f>
        <v>0</v>
      </c>
      <c r="K41" s="212" t="str">
        <f t="shared" ref="K41" si="72">"(" &amp; TEXT(J41/$C41, "0,0 %") &amp; ")"</f>
        <v>(0,0 %)</v>
      </c>
      <c r="L41" s="213"/>
      <c r="M41" s="133">
        <f>M37</f>
        <v>0</v>
      </c>
      <c r="N41" s="212" t="str">
        <f>"(" &amp; TEXT(M41/$C41, "0,0 %") &amp; ")"</f>
        <v>(0,0 %)</v>
      </c>
      <c r="O41" s="213"/>
      <c r="P41" s="133">
        <f>P37</f>
        <v>0</v>
      </c>
      <c r="Q41" s="212" t="str">
        <f t="shared" ref="Q41" si="73">"(" &amp; TEXT(P41/$C41, "0,0 %") &amp; ")"</f>
        <v>(0,0 %)</v>
      </c>
      <c r="R41" s="213"/>
      <c r="S41" s="133">
        <f>S37</f>
        <v>0</v>
      </c>
      <c r="T41" s="212" t="str">
        <f t="shared" ref="T41" si="74">"(" &amp; TEXT(S41/$C41, "0,0 %") &amp; ")"</f>
        <v>(0,0 %)</v>
      </c>
      <c r="U41" s="213"/>
      <c r="V41" s="133">
        <f>V37</f>
        <v>0</v>
      </c>
      <c r="W41" s="212" t="str">
        <f t="shared" ref="W41" si="75">"(" &amp; TEXT(V41/$C41, "0,0 %") &amp; ")"</f>
        <v>(0,0 %)</v>
      </c>
      <c r="X41" s="213"/>
      <c r="Y41" s="133">
        <f>Y37</f>
        <v>0</v>
      </c>
      <c r="Z41" s="212" t="str">
        <f t="shared" ref="Z41" si="76">"(" &amp; TEXT(Y41/$C41, "0,0 %") &amp; ")"</f>
        <v>(0,0 %)</v>
      </c>
      <c r="AA41" s="213"/>
      <c r="AB41" s="133">
        <f>AB37</f>
        <v>0</v>
      </c>
      <c r="AC41" s="212" t="str">
        <f t="shared" ref="AC41" si="77">"(" &amp; TEXT(AB41/$C41, "0,0 %") &amp; ")"</f>
        <v>(0,0 %)</v>
      </c>
      <c r="AD41" s="213"/>
      <c r="AE41" s="133">
        <f>AE37</f>
        <v>0</v>
      </c>
      <c r="AF41" s="212" t="str">
        <f t="shared" ref="AF41" si="78">"(" &amp; TEXT(AE41/$C41, "0,0 %") &amp; ")"</f>
        <v>(0,0 %)</v>
      </c>
      <c r="AG41" s="213"/>
      <c r="AH41" s="133">
        <f>AH37</f>
        <v>0</v>
      </c>
      <c r="AI41" s="212" t="str">
        <f t="shared" si="69"/>
        <v>(0,0 %)</v>
      </c>
      <c r="AJ41" s="213"/>
      <c r="AK41" s="133">
        <f>AK37</f>
        <v>0</v>
      </c>
      <c r="AL41" s="212" t="str">
        <f t="shared" si="70"/>
        <v>(0,0 %)</v>
      </c>
      <c r="AM41" s="213"/>
      <c r="AN41" s="133">
        <f>AN37</f>
        <v>0</v>
      </c>
      <c r="AO41" s="212" t="str">
        <f t="shared" si="71"/>
        <v>(0,0 %)</v>
      </c>
      <c r="AP41" s="213"/>
    </row>
    <row r="42" spans="1:42" s="139" customFormat="1" ht="18" thickTop="1" x14ac:dyDescent="0.2">
      <c r="A42" s="8" t="s">
        <v>49</v>
      </c>
      <c r="B42" s="135"/>
      <c r="C42" s="3">
        <f>SUM(C39:C41)</f>
        <v>25</v>
      </c>
      <c r="D42" s="136">
        <f>SUM(D39:D41)*D45</f>
        <v>0</v>
      </c>
      <c r="E42" s="186" t="str">
        <f>"(" &amp; TEXT(D42/$C42, "0,0 %") &amp; ")"</f>
        <v>(0,0 %)</v>
      </c>
      <c r="F42" s="187"/>
      <c r="G42" s="137">
        <f>SUM(G39:G41)*G45</f>
        <v>0</v>
      </c>
      <c r="H42" s="186" t="str">
        <f>"(" &amp; TEXT(G42/$C42, "0,0 %") &amp; ")"</f>
        <v>(0,0 %)</v>
      </c>
      <c r="I42" s="187"/>
      <c r="J42" s="138">
        <f>SUM(J39:J41)*J45</f>
        <v>0</v>
      </c>
      <c r="K42" s="210" t="str">
        <f>"(" &amp; TEXT(J42/$C42, "0,0 %") &amp; ")"</f>
        <v>(0,0 %)</v>
      </c>
      <c r="L42" s="211"/>
      <c r="M42" s="138">
        <f>SUM(M39:M41)*M45</f>
        <v>0</v>
      </c>
      <c r="N42" s="210" t="str">
        <f>"(" &amp; TEXT(M42/$C42, "0,0 %") &amp; ")"</f>
        <v>(0,0 %)</v>
      </c>
      <c r="O42" s="211"/>
      <c r="P42" s="138">
        <f>SUM(P39:P41)*P45</f>
        <v>0</v>
      </c>
      <c r="Q42" s="210" t="str">
        <f>"(" &amp; TEXT(P42/$C42, "0,0 %") &amp; ")"</f>
        <v>(0,0 %)</v>
      </c>
      <c r="R42" s="211"/>
      <c r="S42" s="138">
        <f>SUM(S39:S41)*S45</f>
        <v>0</v>
      </c>
      <c r="T42" s="210" t="str">
        <f>"(" &amp; TEXT(S42/$C42, "0,0 %") &amp; ")"</f>
        <v>(0,0 %)</v>
      </c>
      <c r="U42" s="211"/>
      <c r="V42" s="138">
        <f>SUM(V39:V41)*V45</f>
        <v>0</v>
      </c>
      <c r="W42" s="210" t="str">
        <f>"(" &amp; TEXT(V42/$C42, "0,0 %") &amp; ")"</f>
        <v>(0,0 %)</v>
      </c>
      <c r="X42" s="211"/>
      <c r="Y42" s="138">
        <f>SUM(Y39:Y41)*Y45</f>
        <v>0</v>
      </c>
      <c r="Z42" s="210" t="str">
        <f>"(" &amp; TEXT(Y42/$C42, "0,0 %") &amp; ")"</f>
        <v>(0,0 %)</v>
      </c>
      <c r="AA42" s="211"/>
      <c r="AB42" s="138">
        <f>SUM(AB39:AB41)*AB45</f>
        <v>0</v>
      </c>
      <c r="AC42" s="210" t="str">
        <f>"(" &amp; TEXT(AB42/$C42, "0,0 %") &amp; ")"</f>
        <v>(0,0 %)</v>
      </c>
      <c r="AD42" s="211"/>
      <c r="AE42" s="138">
        <f>SUM(AE39:AE41)*AE45</f>
        <v>0</v>
      </c>
      <c r="AF42" s="210" t="str">
        <f>"(" &amp; TEXT(AE42/$C42, "0,0 %") &amp; ")"</f>
        <v>(0,0 %)</v>
      </c>
      <c r="AG42" s="211"/>
      <c r="AH42" s="138">
        <f>SUM(AH39:AH41)*AH45</f>
        <v>0</v>
      </c>
      <c r="AI42" s="210" t="str">
        <f>"(" &amp; TEXT(AH42/$C42, "0,0 %") &amp; ")"</f>
        <v>(0,0 %)</v>
      </c>
      <c r="AJ42" s="211"/>
      <c r="AK42" s="138">
        <f>SUM(AK39:AK41)*AK45</f>
        <v>0</v>
      </c>
      <c r="AL42" s="210" t="str">
        <f>"(" &amp; TEXT(AK42/$C42, "0,0 %") &amp; ")"</f>
        <v>(0,0 %)</v>
      </c>
      <c r="AM42" s="211"/>
      <c r="AN42" s="138">
        <f>SUM(AN39:AN41)*AN45</f>
        <v>0</v>
      </c>
      <c r="AO42" s="210" t="str">
        <f>"(" &amp; TEXT(AN42/$C42, "0,0 %") &amp; ")"</f>
        <v>(0,0 %)</v>
      </c>
      <c r="AP42" s="211"/>
    </row>
    <row r="43" spans="1:42" s="139" customFormat="1" ht="17" x14ac:dyDescent="0.2">
      <c r="A43" s="8" t="s">
        <v>50</v>
      </c>
      <c r="B43" s="135"/>
      <c r="C43" s="3">
        <f>C42</f>
        <v>25</v>
      </c>
      <c r="D43" s="136">
        <f>ROUNDUP(D42/5,1)*5</f>
        <v>0</v>
      </c>
      <c r="E43" s="184" t="str">
        <f>"(" &amp; TEXT(D43/$C43, "0,0 %") &amp; ")"</f>
        <v>(0,0 %)</v>
      </c>
      <c r="F43" s="185"/>
      <c r="G43" s="137">
        <f>ROUNDUP(G42/5,1)*5</f>
        <v>0</v>
      </c>
      <c r="H43" s="184" t="str">
        <f>"(" &amp; TEXT(G43/$C43, "0,0 %") &amp; ")"</f>
        <v>(0,0 %)</v>
      </c>
      <c r="I43" s="185"/>
      <c r="J43" s="137">
        <f>ROUNDUP(J42/5,1)*5</f>
        <v>0</v>
      </c>
      <c r="K43" s="204" t="str">
        <f>"(" &amp; TEXT(J43/$C43, "0,0 %") &amp; ")"</f>
        <v>(0,0 %)</v>
      </c>
      <c r="L43" s="205"/>
      <c r="M43" s="137">
        <f>ROUNDUP(M42/5,1)*5</f>
        <v>0</v>
      </c>
      <c r="N43" s="204" t="str">
        <f>"(" &amp; TEXT(M43/$C43, "0,0 %") &amp; ")"</f>
        <v>(0,0 %)</v>
      </c>
      <c r="O43" s="205"/>
      <c r="P43" s="137">
        <f>ROUNDUP(P42/5,1)*5</f>
        <v>0</v>
      </c>
      <c r="Q43" s="204" t="str">
        <f>"(" &amp; TEXT(P43/$C43, "0,0 %") &amp; ")"</f>
        <v>(0,0 %)</v>
      </c>
      <c r="R43" s="205"/>
      <c r="S43" s="137">
        <f>ROUNDUP(S42/5,1)*5</f>
        <v>0</v>
      </c>
      <c r="T43" s="204" t="str">
        <f>"(" &amp; TEXT(S43/$C43, "0,0 %") &amp; ")"</f>
        <v>(0,0 %)</v>
      </c>
      <c r="U43" s="205"/>
      <c r="V43" s="137">
        <f>ROUNDUP(V42/5,1)*5</f>
        <v>0</v>
      </c>
      <c r="W43" s="204" t="str">
        <f>"(" &amp; TEXT(V43/$C43, "0,0 %") &amp; ")"</f>
        <v>(0,0 %)</v>
      </c>
      <c r="X43" s="205"/>
      <c r="Y43" s="137">
        <f>ROUNDUP(Y42/5,1)*5</f>
        <v>0</v>
      </c>
      <c r="Z43" s="204" t="str">
        <f>"(" &amp; TEXT(Y43/$C43, "0,0 %") &amp; ")"</f>
        <v>(0,0 %)</v>
      </c>
      <c r="AA43" s="205"/>
      <c r="AB43" s="137">
        <f>ROUNDUP(AB42/5,1)*5</f>
        <v>0</v>
      </c>
      <c r="AC43" s="204" t="str">
        <f>"(" &amp; TEXT(AB43/$C43, "0,0 %") &amp; ")"</f>
        <v>(0,0 %)</v>
      </c>
      <c r="AD43" s="205"/>
      <c r="AE43" s="137">
        <f>ROUNDUP(AE42/5,1)*5</f>
        <v>0</v>
      </c>
      <c r="AF43" s="204" t="str">
        <f>"(" &amp; TEXT(AE43/$C43, "0,0 %") &amp; ")"</f>
        <v>(0,0 %)</v>
      </c>
      <c r="AG43" s="205"/>
      <c r="AH43" s="137">
        <f>ROUNDUP(AH42/5,1)*5</f>
        <v>0</v>
      </c>
      <c r="AI43" s="204" t="str">
        <f>"(" &amp; TEXT(AH43/$C43, "0,0 %") &amp; ")"</f>
        <v>(0,0 %)</v>
      </c>
      <c r="AJ43" s="205"/>
      <c r="AK43" s="137">
        <f>ROUNDUP(AK42/5,1)*5</f>
        <v>0</v>
      </c>
      <c r="AL43" s="204" t="str">
        <f>"(" &amp; TEXT(AK43/$C43, "0,0 %") &amp; ")"</f>
        <v>(0,0 %)</v>
      </c>
      <c r="AM43" s="205"/>
      <c r="AN43" s="137">
        <f>ROUNDUP(AN42/5,1)*5</f>
        <v>0</v>
      </c>
      <c r="AO43" s="204" t="str">
        <f>"(" &amp; TEXT(AN43/$C43, "0,0 %") &amp; ")"</f>
        <v>(0,0 %)</v>
      </c>
      <c r="AP43" s="205"/>
    </row>
    <row r="44" spans="1:42" s="139" customFormat="1" ht="17" x14ac:dyDescent="0.2">
      <c r="A44" s="8" t="s">
        <v>84</v>
      </c>
      <c r="B44" s="135"/>
      <c r="C44" s="3" t="s">
        <v>51</v>
      </c>
      <c r="D44" s="140" t="e">
        <f ca="1">_xlfn.PERCENTRANK.INC(Endergebnis_gerundet,D43,4)</f>
        <v>#N/A</v>
      </c>
      <c r="E44" s="184" t="e">
        <f ca="1">"( " &amp; IF(ISBLANK(D44),"-",IF(D44&gt;=0.9,"A",IF(D44&gt;=0.65,"B",IF(D44&gt;=0.35,"C",IF(D44&gt;=0.1,"D","E"))))) &amp; " )"</f>
        <v>#N/A</v>
      </c>
      <c r="F44" s="185"/>
      <c r="G44" s="141" t="e">
        <f ca="1">_xlfn.PERCENTRANK.INC(Endergebnis_gerundet,G43,4)</f>
        <v>#N/A</v>
      </c>
      <c r="H44" s="184" t="e">
        <f ca="1">"( " &amp; IF(ISBLANK(G44),"-",IF(G44&gt;=0.9,"A",IF(G44&gt;=0.65,"B",IF(G44&gt;=0.35,"C",IF(G44&gt;=0.1,"D","E"))))) &amp; " )"</f>
        <v>#N/A</v>
      </c>
      <c r="I44" s="185"/>
      <c r="J44" s="141" t="e">
        <f ca="1">_xlfn.PERCENTRANK.INC(Endergebnis_gerundet,J43,4)</f>
        <v>#N/A</v>
      </c>
      <c r="K44" s="204" t="e">
        <f ca="1">"( " &amp; IF(ISBLANK(J44),"-",IF(J44&gt;=0.9,"A",IF(J44&gt;=0.65,"B",IF(J44&gt;=0.35,"C",IF(J44&gt;=0.1,"D","E"))))) &amp; " )"</f>
        <v>#N/A</v>
      </c>
      <c r="L44" s="205"/>
      <c r="M44" s="141" t="e">
        <f ca="1">_xlfn.PERCENTRANK.INC(Endergebnis_gerundet,M43,4)</f>
        <v>#N/A</v>
      </c>
      <c r="N44" s="204" t="e">
        <f ca="1">"( " &amp; IF(ISBLANK(M44),"-",IF(M44&gt;=0.9,"A",IF(M44&gt;=0.65,"B",IF(M44&gt;=0.35,"C",IF(M44&gt;=0.1,"D","E"))))) &amp; " )"</f>
        <v>#N/A</v>
      </c>
      <c r="O44" s="205"/>
      <c r="P44" s="141" t="e">
        <f ca="1">_xlfn.PERCENTRANK.INC(Endergebnis_gerundet,P43,4)</f>
        <v>#N/A</v>
      </c>
      <c r="Q44" s="204" t="e">
        <f ca="1">"( " &amp; IF(ISBLANK(P44),"-",IF(P44&gt;=0.9,"A",IF(P44&gt;=0.65,"B",IF(P44&gt;=0.35,"C",IF(P44&gt;=0.1,"D","E"))))) &amp; " )"</f>
        <v>#N/A</v>
      </c>
      <c r="R44" s="205"/>
      <c r="S44" s="141" t="e">
        <f ca="1">_xlfn.PERCENTRANK.INC(Endergebnis_gerundet,S43,4)</f>
        <v>#N/A</v>
      </c>
      <c r="T44" s="204" t="e">
        <f ca="1">"( " &amp; IF(ISBLANK(S44),"-",IF(S44&gt;=0.9,"A",IF(S44&gt;=0.65,"B",IF(S44&gt;=0.35,"C",IF(S44&gt;=0.1,"D","E"))))) &amp; " )"</f>
        <v>#N/A</v>
      </c>
      <c r="U44" s="205"/>
      <c r="V44" s="141" t="e">
        <f ca="1">_xlfn.PERCENTRANK.INC(Endergebnis_gerundet,V43,4)</f>
        <v>#N/A</v>
      </c>
      <c r="W44" s="204" t="e">
        <f ca="1">"( " &amp; IF(ISBLANK(V44),"-",IF(V44&gt;=0.9,"A",IF(V44&gt;=0.65,"B",IF(V44&gt;=0.35,"C",IF(V44&gt;=0.1,"D","E"))))) &amp; " )"</f>
        <v>#N/A</v>
      </c>
      <c r="X44" s="205"/>
      <c r="Y44" s="141" t="e">
        <f ca="1">_xlfn.PERCENTRANK.INC(Endergebnis_gerundet,Y43,4)</f>
        <v>#N/A</v>
      </c>
      <c r="Z44" s="204" t="e">
        <f ca="1">"( " &amp; IF(ISBLANK(Y44),"-",IF(Y44&gt;=0.9,"A",IF(Y44&gt;=0.65,"B",IF(Y44&gt;=0.35,"C",IF(Y44&gt;=0.1,"D","E"))))) &amp; " )"</f>
        <v>#N/A</v>
      </c>
      <c r="AA44" s="205"/>
      <c r="AB44" s="141" t="e">
        <f ca="1">_xlfn.PERCENTRANK.INC(Endergebnis_gerundet,AB43,4)</f>
        <v>#N/A</v>
      </c>
      <c r="AC44" s="204" t="e">
        <f ca="1">"( " &amp; IF(ISBLANK(AB44),"-",IF(AB44&gt;=0.9,"A",IF(AB44&gt;=0.65,"B",IF(AB44&gt;=0.35,"C",IF(AB44&gt;=0.1,"D","E"))))) &amp; " )"</f>
        <v>#N/A</v>
      </c>
      <c r="AD44" s="205"/>
      <c r="AE44" s="142" t="e">
        <f ca="1">_xlfn.PERCENTRANK.INC(Endergebnis_gerundet,AE43,4)</f>
        <v>#N/A</v>
      </c>
      <c r="AF44" s="204" t="e">
        <f ca="1">"( " &amp; IF(ISBLANK(AE44),"-",IF(AE44&gt;=0.9,"A",IF(AE44&gt;=0.65,"B",IF(AE44&gt;=0.35,"C",IF(AE44&gt;=0.1,"D","E"))))) &amp; " )"</f>
        <v>#N/A</v>
      </c>
      <c r="AG44" s="205"/>
      <c r="AH44" s="142" t="e">
        <f ca="1">_xlfn.PERCENTRANK.INC(Endergebnis_gerundet,AH43,4)</f>
        <v>#N/A</v>
      </c>
      <c r="AI44" s="204" t="e">
        <f ca="1">"( " &amp; IF(ISBLANK(AH44),"-",IF(AH44&gt;=0.9,"A",IF(AH44&gt;=0.65,"B",IF(AH44&gt;=0.35,"C",IF(AH44&gt;=0.1,"D","E"))))) &amp; " )"</f>
        <v>#N/A</v>
      </c>
      <c r="AJ44" s="205"/>
      <c r="AK44" s="142" t="e">
        <f ca="1">_xlfn.PERCENTRANK.INC(Endergebnis_gerundet,AK43,4)</f>
        <v>#N/A</v>
      </c>
      <c r="AL44" s="204" t="e">
        <f ca="1">"( " &amp; IF(ISBLANK(AK44),"-",IF(AK44&gt;=0.9,"A",IF(AK44&gt;=0.65,"B",IF(AK44&gt;=0.35,"C",IF(AK44&gt;=0.1,"D","E"))))) &amp; " )"</f>
        <v>#N/A</v>
      </c>
      <c r="AM44" s="205"/>
      <c r="AN44" s="142" t="e">
        <f ca="1">_xlfn.PERCENTRANK.INC(Endergebnis_gerundet,AN43,4)</f>
        <v>#N/A</v>
      </c>
      <c r="AO44" s="204" t="e">
        <f ca="1">"( " &amp; IF(ISBLANK(AN44),"-",IF(AN44&gt;=0.9,"A",IF(AN44&gt;=0.65,"B",IF(AN44&gt;=0.35,"C",IF(AN44&gt;=0.1,"D","E"))))) &amp; " )"</f>
        <v>#N/A</v>
      </c>
      <c r="AP44" s="205"/>
    </row>
    <row r="45" spans="1:42" ht="17" x14ac:dyDescent="0.2">
      <c r="A45" s="168" t="s">
        <v>88</v>
      </c>
      <c r="B45" s="169" t="s">
        <v>92</v>
      </c>
      <c r="C45" s="171">
        <f xml:space="preserve"> 0.5 * (C39+C40)</f>
        <v>5</v>
      </c>
      <c r="D45" s="124" t="b">
        <f>D39+D40 &gt;= $C$45</f>
        <v>0</v>
      </c>
      <c r="E45" s="182" t="str">
        <f>IF(D45, "Bestanden", "Nicht Bestanden")</f>
        <v>Nicht Bestanden</v>
      </c>
      <c r="F45" s="183"/>
      <c r="G45" s="124" t="b">
        <f>G39+G40 &gt;= $C$45</f>
        <v>0</v>
      </c>
      <c r="H45" s="182" t="str">
        <f>IF(G45, "Bestanden", "Nicht Bestanden")</f>
        <v>Nicht Bestanden</v>
      </c>
      <c r="I45" s="183"/>
      <c r="J45" s="124" t="b">
        <f>J39+J40 &gt;= $C$45</f>
        <v>0</v>
      </c>
      <c r="K45" s="182" t="str">
        <f>IF(J45, "Bestanden", "Nicht Bestanden")</f>
        <v>Nicht Bestanden</v>
      </c>
      <c r="L45" s="183"/>
      <c r="M45" s="124" t="b">
        <f>M39+M40 &gt;= $C$45</f>
        <v>0</v>
      </c>
      <c r="N45" s="182" t="str">
        <f>IF(M45, "Bestanden", "Nicht Bestanden")</f>
        <v>Nicht Bestanden</v>
      </c>
      <c r="O45" s="183"/>
      <c r="P45" s="124" t="b">
        <f>P39+P40 &gt;= $C$45</f>
        <v>0</v>
      </c>
      <c r="Q45" s="182" t="str">
        <f>IF(P45, "Bestanden", "Nicht Bestanden")</f>
        <v>Nicht Bestanden</v>
      </c>
      <c r="R45" s="183"/>
      <c r="S45" s="124" t="b">
        <f>S39+S40 &gt;= $C$45</f>
        <v>0</v>
      </c>
      <c r="T45" s="182" t="str">
        <f>IF(S45, "Bestanden", "Nicht Bestanden")</f>
        <v>Nicht Bestanden</v>
      </c>
      <c r="U45" s="183"/>
      <c r="V45" s="124" t="b">
        <f>V39+V40 &gt;= $C$45</f>
        <v>0</v>
      </c>
      <c r="W45" s="182" t="str">
        <f>IF(V45, "Bestanden", "Nicht Bestanden")</f>
        <v>Nicht Bestanden</v>
      </c>
      <c r="X45" s="183"/>
      <c r="Y45" s="124" t="b">
        <f>Y39+Y40 &gt;= $C$45</f>
        <v>0</v>
      </c>
      <c r="Z45" s="182" t="str">
        <f>IF(Y45, "Bestanden", "Nicht Bestanden")</f>
        <v>Nicht Bestanden</v>
      </c>
      <c r="AA45" s="183"/>
      <c r="AB45" s="124" t="b">
        <f>AB39+AB40 &gt;= $C$45</f>
        <v>0</v>
      </c>
      <c r="AC45" s="182" t="str">
        <f>IF(AB45, "Bestanden", "Nicht Bestanden")</f>
        <v>Nicht Bestanden</v>
      </c>
      <c r="AD45" s="183"/>
      <c r="AE45" s="124" t="b">
        <f>AE39+AE40 &gt;= $C$45</f>
        <v>0</v>
      </c>
      <c r="AF45" s="182" t="str">
        <f>IF(AE45, "Bestanden", "Nicht Bestanden")</f>
        <v>Nicht Bestanden</v>
      </c>
      <c r="AG45" s="183"/>
      <c r="AH45" s="124" t="b">
        <f>AH39+AH40 &gt;= $C$45</f>
        <v>0</v>
      </c>
      <c r="AI45" s="182" t="str">
        <f>IF(AH45, "Bestanden", "Nicht Bestanden")</f>
        <v>Nicht Bestanden</v>
      </c>
      <c r="AJ45" s="183"/>
      <c r="AK45" s="124" t="b">
        <f>AK39+AK40 &gt;= $C$45</f>
        <v>0</v>
      </c>
      <c r="AL45" s="182" t="str">
        <f>IF(AK45, "Bestanden", "Nicht Bestanden")</f>
        <v>Nicht Bestanden</v>
      </c>
      <c r="AM45" s="183"/>
      <c r="AN45" s="124" t="b">
        <f>AN39+AN40 &gt;= $C$45</f>
        <v>0</v>
      </c>
      <c r="AO45" s="182" t="str">
        <f>IF(AN45, "Bestanden", "Nicht Bestanden")</f>
        <v>Nicht Bestanden</v>
      </c>
      <c r="AP45" s="183"/>
    </row>
    <row r="46" spans="1:42" s="126" customFormat="1" ht="17" x14ac:dyDescent="0.2">
      <c r="A46" s="8" t="s">
        <v>70</v>
      </c>
      <c r="B46" s="170" t="s">
        <v>93</v>
      </c>
      <c r="C46" s="76">
        <v>0</v>
      </c>
      <c r="D46" s="124" t="b">
        <f>AND(D43 &gt;= $C$43 *$C$46,D45)</f>
        <v>0</v>
      </c>
      <c r="E46" s="182" t="str">
        <f>IF(D46,"Bestanden","Durchgefallen")</f>
        <v>Durchgefallen</v>
      </c>
      <c r="F46" s="183"/>
      <c r="G46" s="124" t="b">
        <f>AND(G43 &gt;= $C$43 *$C$46,G45)</f>
        <v>0</v>
      </c>
      <c r="H46" s="182" t="str">
        <f>IF(G46,"Bestanden","Durchgefallen")</f>
        <v>Durchgefallen</v>
      </c>
      <c r="I46" s="183"/>
      <c r="J46" s="124" t="b">
        <f>AND(J43 &gt;= $C$43 *$C$46,J45)</f>
        <v>0</v>
      </c>
      <c r="K46" s="182" t="str">
        <f>IF(J46,"Bestanden","Durchgefallen")</f>
        <v>Durchgefallen</v>
      </c>
      <c r="L46" s="183"/>
      <c r="M46" s="124" t="b">
        <f>AND(M43 &gt;= $C$43 *$C$46,M45)</f>
        <v>0</v>
      </c>
      <c r="N46" s="182" t="str">
        <f>IF(M46,"Bestanden","Durchgefallen")</f>
        <v>Durchgefallen</v>
      </c>
      <c r="O46" s="183"/>
      <c r="P46" s="124" t="b">
        <f>AND(P43 &gt;= $C$43 *$C$46,P45)</f>
        <v>0</v>
      </c>
      <c r="Q46" s="182" t="str">
        <f>IF(P46,"Bestanden","Durchgefallen")</f>
        <v>Durchgefallen</v>
      </c>
      <c r="R46" s="183"/>
      <c r="S46" s="124" t="b">
        <f>AND(S43 &gt;= $C$43 *$C$46,S45)</f>
        <v>0</v>
      </c>
      <c r="T46" s="182" t="str">
        <f>IF(S46,"Bestanden","Durchgefallen")</f>
        <v>Durchgefallen</v>
      </c>
      <c r="U46" s="183"/>
      <c r="V46" s="124" t="b">
        <f>AND(V43 &gt;= $C$43 *$C$46,V45)</f>
        <v>0</v>
      </c>
      <c r="W46" s="182" t="str">
        <f>IF(V46,"Bestanden","Durchgefallen")</f>
        <v>Durchgefallen</v>
      </c>
      <c r="X46" s="183"/>
      <c r="Y46" s="124" t="b">
        <f>AND(Y43 &gt;= $C$43 *$C$46,Y45)</f>
        <v>0</v>
      </c>
      <c r="Z46" s="182" t="str">
        <f>IF(Y46,"Bestanden","Durchgefallen")</f>
        <v>Durchgefallen</v>
      </c>
      <c r="AA46" s="183"/>
      <c r="AB46" s="124" t="b">
        <f>AND(AB43 &gt;= $C$43 *$C$46,AB45)</f>
        <v>0</v>
      </c>
      <c r="AC46" s="182" t="str">
        <f>IF(AB46,"Bestanden","Durchgefallen")</f>
        <v>Durchgefallen</v>
      </c>
      <c r="AD46" s="183"/>
      <c r="AE46" s="124" t="b">
        <f>AND(AE43 &gt;= $C$43 *$C$46,AE45)</f>
        <v>0</v>
      </c>
      <c r="AF46" s="182" t="str">
        <f>IF(AE46,"Bestanden","Durchgefallen")</f>
        <v>Durchgefallen</v>
      </c>
      <c r="AG46" s="183"/>
      <c r="AH46" s="124" t="b">
        <f>AND(AH43 &gt;= $C$43 *$C$46,AH45)</f>
        <v>0</v>
      </c>
      <c r="AI46" s="182" t="str">
        <f>IF(AH46,"Bestanden","Durchgefallen")</f>
        <v>Durchgefallen</v>
      </c>
      <c r="AJ46" s="183"/>
      <c r="AK46" s="124" t="b">
        <f>AND(AK43 &gt;= $C$43 *$C$46,AK45)</f>
        <v>0</v>
      </c>
      <c r="AL46" s="182" t="str">
        <f>IF(AK46,"Bestanden","Durchgefallen")</f>
        <v>Durchgefallen</v>
      </c>
      <c r="AM46" s="183"/>
      <c r="AN46" s="124" t="b">
        <f>AND(AN43 &gt;= $C$43 *$C$46,AN45)</f>
        <v>0</v>
      </c>
      <c r="AO46" s="182" t="str">
        <f>IF(AN46,"Bestanden","Durchgefallen")</f>
        <v>Durchgefallen</v>
      </c>
      <c r="AP46" s="183"/>
    </row>
  </sheetData>
  <mergeCells count="377"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35" t="str" cm="1">
        <f t="array" aca="1" ref="B2" ca="1">"Feedback - Gruppe: "&amp;IF(ISBLANK(INDIRECT("Gesamt!"&amp;E$1&amp;$A5)),"",INDIRECT("Gesamt!"&amp;E$1&amp;$A5))</f>
        <v xml:space="preserve">Feedback - Gruppe: </v>
      </c>
      <c r="C2" s="236"/>
      <c r="D2" s="236"/>
      <c r="E2" s="237"/>
    </row>
    <row r="3" spans="1:7" x14ac:dyDescent="0.2">
      <c r="A3" t="str">
        <f ca="1">TEXT(TODAY(),"JJJJMMTT")</f>
        <v>20220616</v>
      </c>
      <c r="B3" s="238">
        <f ca="1">TODAY()</f>
        <v>44728</v>
      </c>
      <c r="C3" s="239"/>
      <c r="D3" s="239"/>
      <c r="E3" s="240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3" t="str" cm="1">
        <f t="array" aca="1" ref="D13" ca="1">IF(ISBLANK(INDIRECT("Gesamt!"&amp;D$1&amp;$A13)),"",INDIRECT("Gesamt!"&amp;D$1&amp;$A13))</f>
        <v xml:space="preserve">Gruppe: </v>
      </c>
      <c r="E13" s="234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3" t="str" cm="1">
        <f t="array" aca="1" ref="D20" ca="1">IF(ISBLANK(INDIRECT("Gesamt!"&amp;D$1&amp;$A20)),"",INDIRECT("Gesamt!"&amp;D$1&amp;$A20))</f>
        <v xml:space="preserve">Gruppe: </v>
      </c>
      <c r="E20" s="234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3" t="str" cm="1">
        <f t="array" aca="1" ref="D30" ca="1">IF(ISBLANK(INDIRECT("Gesamt!"&amp;D$1&amp;$A30)),"",INDIRECT("Gesamt!"&amp;D$1&amp;$A30))</f>
        <v xml:space="preserve">Gruppe: </v>
      </c>
      <c r="E30" s="234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3" t="str" cm="1">
        <f t="array" aca="1" ref="D41" ca="1">IF(ISBLANK(INDIRECT("Gesamt!"&amp;D$1&amp;$A41)),"",INDIRECT("Gesamt!"&amp;D$1&amp;$A41))</f>
        <v xml:space="preserve">Gruppe: </v>
      </c>
      <c r="E41" s="234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1" t="str">
        <f ca="1">IF(ISBLANK(INDIRECT("Gesamt!"&amp;B$1&amp;$A50)),"",INDIRECT("Gesamt!"&amp;B$1&amp;$A50))</f>
        <v>Vorleistung (50% der Punkte nach Zwischenabgabe)</v>
      </c>
      <c r="C50" s="221"/>
      <c r="D50" s="221"/>
      <c r="E50" s="221"/>
    </row>
    <row r="52" spans="1:5" x14ac:dyDescent="0.2">
      <c r="B52" s="222" t="str">
        <f ca="1">IF(ISBLANK(INDIRECT("Gesamt!"&amp;E$1&amp;$A50)),"",INDIRECT("Gesamt!"&amp;E$1&amp;$A50))</f>
        <v>Nicht Bestanden</v>
      </c>
      <c r="C52" s="223"/>
      <c r="D52" s="223"/>
      <c r="E52" s="224"/>
    </row>
    <row r="53" spans="1:5" x14ac:dyDescent="0.2">
      <c r="B53" s="225"/>
      <c r="C53" s="226"/>
      <c r="D53" s="226"/>
      <c r="E53" s="227"/>
    </row>
    <row r="54" spans="1:5" x14ac:dyDescent="0.2">
      <c r="B54" s="228"/>
      <c r="C54" s="229"/>
      <c r="D54" s="229"/>
      <c r="E54" s="230"/>
    </row>
    <row r="56" spans="1:5" x14ac:dyDescent="0.2">
      <c r="B56" s="231" t="s">
        <v>94</v>
      </c>
      <c r="C56" s="232"/>
      <c r="D56" s="232"/>
      <c r="E56" s="232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20220616</v>
      </c>
    </row>
    <row r="34" spans="4:5" x14ac:dyDescent="0.2">
      <c r="D34" t="s">
        <v>81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2022-06-16T10:24:22Z</dcterms:modified>
</cp:coreProperties>
</file>