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bchwtz/sciebo/courses/bchwtz-stat/data/"/>
    </mc:Choice>
  </mc:AlternateContent>
  <xr:revisionPtr revIDLastSave="0" documentId="13_ncr:1_{99E20FA9-4219-C04E-8ABC-2AF0C587E810}" xr6:coauthVersionLast="47" xr6:coauthVersionMax="47" xr10:uidLastSave="{00000000-0000-0000-0000-000000000000}"/>
  <bookViews>
    <workbookView xWindow="0" yWindow="500" windowWidth="28800" windowHeight="16260" xr2:uid="{511E983D-421B-B344-89DD-14317EEA68B8}"/>
  </bookViews>
  <sheets>
    <sheet name="Ergebnisübersicht" sheetId="28" r:id="rId1"/>
    <sheet name="Gesamt" sheetId="1" r:id="rId2"/>
    <sheet name="G1" sheetId="40" r:id="rId3"/>
    <sheet name="G2" sheetId="50" r:id="rId4"/>
    <sheet name="G3" sheetId="51" r:id="rId5"/>
    <sheet name="G4" sheetId="52" r:id="rId6"/>
    <sheet name="G5" sheetId="53" r:id="rId7"/>
    <sheet name="G6" sheetId="54" r:id="rId8"/>
    <sheet name="G7" sheetId="55" r:id="rId9"/>
    <sheet name="G8" sheetId="56" r:id="rId10"/>
    <sheet name="G9" sheetId="57" r:id="rId11"/>
    <sheet name="G10" sheetId="58" r:id="rId12"/>
    <sheet name="G11" sheetId="59" r:id="rId13"/>
    <sheet name="G12" sheetId="60" r:id="rId14"/>
    <sheet name="G13" sheetId="61" r:id="rId15"/>
    <sheet name="Settings" sheetId="17" r:id="rId16"/>
  </sheets>
  <definedNames>
    <definedName name="_xlnm._FilterDatabase" localSheetId="0" hidden="1">Ergebnisübersicht!$A$1:$G$79</definedName>
    <definedName name="_xlnm.Print_Area" localSheetId="2">'G1'!$B$2:$E$56</definedName>
    <definedName name="_xlnm.Print_Area" localSheetId="11">'G10'!$B$2:$E$56</definedName>
    <definedName name="_xlnm.Print_Area" localSheetId="12">'G11'!$B$2:$E$56</definedName>
    <definedName name="_xlnm.Print_Area" localSheetId="13">'G12'!$B$2:$E$56</definedName>
    <definedName name="_xlnm.Print_Area" localSheetId="14">'G13'!$B$2:$E$56</definedName>
    <definedName name="_xlnm.Print_Area" localSheetId="3">'G2'!$B$2:$E$56</definedName>
    <definedName name="_xlnm.Print_Area" localSheetId="4">'G3'!$B$2:$E$56</definedName>
    <definedName name="_xlnm.Print_Area" localSheetId="5">'G4'!$B$2:$E$56</definedName>
    <definedName name="_xlnm.Print_Area" localSheetId="6">'G5'!$B$2:$E$56</definedName>
    <definedName name="_xlnm.Print_Area" localSheetId="7">'G6'!$B$2:$E$56</definedName>
    <definedName name="_xlnm.Print_Area" localSheetId="8">'G7'!$B$2:$E$56</definedName>
    <definedName name="_xlnm.Print_Area" localSheetId="9">'G8'!$B$2:$E$56</definedName>
    <definedName name="_xlnm.Print_Area" localSheetId="10">'G9'!$B$2:$E$56</definedName>
    <definedName name="Endergebnis_gerundet">Settings!$E$2:$E$100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28" l="1"/>
  <c r="AN45" i="1"/>
  <c r="AK45" i="1"/>
  <c r="AH45" i="1"/>
  <c r="AE45" i="1"/>
  <c r="AB45" i="1"/>
  <c r="Y45" i="1"/>
  <c r="V45" i="1"/>
  <c r="S45" i="1"/>
  <c r="P45" i="1"/>
  <c r="M45" i="1"/>
  <c r="J45" i="1"/>
  <c r="G45" i="1"/>
  <c r="D45" i="1"/>
  <c r="B3" i="61"/>
  <c r="A3" i="61"/>
  <c r="F1" i="61"/>
  <c r="E1" i="61"/>
  <c r="D1" i="61"/>
  <c r="B3" i="60"/>
  <c r="A3" i="60"/>
  <c r="F1" i="60"/>
  <c r="E1" i="60"/>
  <c r="D1" i="60"/>
  <c r="B3" i="59"/>
  <c r="A3" i="59"/>
  <c r="F1" i="59"/>
  <c r="E1" i="59"/>
  <c r="D1" i="59"/>
  <c r="B3" i="58"/>
  <c r="A3" i="58"/>
  <c r="F1" i="58"/>
  <c r="E1" i="58"/>
  <c r="D1" i="58"/>
  <c r="B3" i="57"/>
  <c r="A3" i="57"/>
  <c r="F1" i="57"/>
  <c r="E1" i="57"/>
  <c r="D1" i="57"/>
  <c r="B3" i="56"/>
  <c r="A3" i="56"/>
  <c r="F1" i="56"/>
  <c r="E1" i="56"/>
  <c r="D1" i="56"/>
  <c r="B3" i="55"/>
  <c r="A3" i="55"/>
  <c r="F1" i="55"/>
  <c r="E1" i="55"/>
  <c r="D1" i="55"/>
  <c r="B3" i="54"/>
  <c r="A3" i="54"/>
  <c r="F1" i="54"/>
  <c r="E1" i="54"/>
  <c r="D1" i="54"/>
  <c r="B3" i="53"/>
  <c r="A3" i="53"/>
  <c r="F1" i="53"/>
  <c r="E1" i="53"/>
  <c r="D1" i="53"/>
  <c r="B3" i="52"/>
  <c r="A3" i="52"/>
  <c r="F1" i="52"/>
  <c r="E1" i="52"/>
  <c r="D1" i="52"/>
  <c r="B3" i="51"/>
  <c r="A3" i="51"/>
  <c r="F1" i="51"/>
  <c r="E1" i="51"/>
  <c r="D1" i="51"/>
  <c r="B3" i="50"/>
  <c r="A3" i="50"/>
  <c r="F1" i="50"/>
  <c r="E1" i="50"/>
  <c r="D1" i="50"/>
  <c r="AO45" i="1"/>
  <c r="AL45" i="1"/>
  <c r="AI45" i="1"/>
  <c r="AF45" i="1"/>
  <c r="F1" i="40" l="1"/>
  <c r="E1" i="40"/>
  <c r="D1" i="40"/>
  <c r="B3" i="40"/>
  <c r="A3" i="40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2" i="28"/>
  <c r="D75" i="28"/>
  <c r="D76" i="28"/>
  <c r="D77" i="28"/>
  <c r="D78" i="28"/>
  <c r="D79" i="28"/>
  <c r="D69" i="28"/>
  <c r="D70" i="28"/>
  <c r="D71" i="28"/>
  <c r="D72" i="28"/>
  <c r="D73" i="28"/>
  <c r="D63" i="28"/>
  <c r="D64" i="28"/>
  <c r="D65" i="28"/>
  <c r="D66" i="28"/>
  <c r="D67" i="28"/>
  <c r="D57" i="28"/>
  <c r="D58" i="28"/>
  <c r="D59" i="28"/>
  <c r="D60" i="28"/>
  <c r="D61" i="28"/>
  <c r="D51" i="28"/>
  <c r="D52" i="28"/>
  <c r="D53" i="28"/>
  <c r="D54" i="28"/>
  <c r="D55" i="28"/>
  <c r="D45" i="28"/>
  <c r="D46" i="28"/>
  <c r="D47" i="28"/>
  <c r="D48" i="28"/>
  <c r="D49" i="28"/>
  <c r="D39" i="28"/>
  <c r="D40" i="28"/>
  <c r="D41" i="28"/>
  <c r="D42" i="28"/>
  <c r="D43" i="28"/>
  <c r="D33" i="28"/>
  <c r="D34" i="28"/>
  <c r="D35" i="28"/>
  <c r="D36" i="28"/>
  <c r="D37" i="28"/>
  <c r="D27" i="28"/>
  <c r="D28" i="28"/>
  <c r="D29" i="28"/>
  <c r="D30" i="28"/>
  <c r="D31" i="28"/>
  <c r="D74" i="28"/>
  <c r="D68" i="28"/>
  <c r="D62" i="28"/>
  <c r="D56" i="28"/>
  <c r="D50" i="28"/>
  <c r="D44" i="28"/>
  <c r="D38" i="28"/>
  <c r="D32" i="28"/>
  <c r="D26" i="28"/>
  <c r="D21" i="28"/>
  <c r="D22" i="28"/>
  <c r="D23" i="28"/>
  <c r="D24" i="28"/>
  <c r="D25" i="28"/>
  <c r="D20" i="28"/>
  <c r="D15" i="28"/>
  <c r="D16" i="28"/>
  <c r="D17" i="28"/>
  <c r="D18" i="28"/>
  <c r="D19" i="28"/>
  <c r="D14" i="28"/>
  <c r="D9" i="28"/>
  <c r="D10" i="28"/>
  <c r="D11" i="28"/>
  <c r="D12" i="28"/>
  <c r="D13" i="28"/>
  <c r="D8" i="28"/>
  <c r="D3" i="28"/>
  <c r="D4" i="28"/>
  <c r="D5" i="28"/>
  <c r="D6" i="28"/>
  <c r="D7" i="28"/>
  <c r="D2" i="28"/>
  <c r="A75" i="28"/>
  <c r="B75" i="28"/>
  <c r="C75" i="28"/>
  <c r="A76" i="28"/>
  <c r="B76" i="28"/>
  <c r="C76" i="28"/>
  <c r="A77" i="28"/>
  <c r="B77" i="28"/>
  <c r="C77" i="28"/>
  <c r="A78" i="28"/>
  <c r="B78" i="28"/>
  <c r="C78" i="28"/>
  <c r="A79" i="28"/>
  <c r="B79" i="28"/>
  <c r="C79" i="28"/>
  <c r="B74" i="28"/>
  <c r="C74" i="28"/>
  <c r="A74" i="28"/>
  <c r="A69" i="28"/>
  <c r="B69" i="28"/>
  <c r="C69" i="28"/>
  <c r="A70" i="28"/>
  <c r="B70" i="28"/>
  <c r="C70" i="28"/>
  <c r="A71" i="28"/>
  <c r="B71" i="28"/>
  <c r="C71" i="28"/>
  <c r="A72" i="28"/>
  <c r="B72" i="28"/>
  <c r="C72" i="28"/>
  <c r="A73" i="28"/>
  <c r="B73" i="28"/>
  <c r="C73" i="28"/>
  <c r="B68" i="28"/>
  <c r="C68" i="28"/>
  <c r="A68" i="28"/>
  <c r="A63" i="28"/>
  <c r="B63" i="28"/>
  <c r="C63" i="28"/>
  <c r="A64" i="28"/>
  <c r="B64" i="28"/>
  <c r="C64" i="28"/>
  <c r="A65" i="28"/>
  <c r="B65" i="28"/>
  <c r="C65" i="28"/>
  <c r="A66" i="28"/>
  <c r="B66" i="28"/>
  <c r="C66" i="28"/>
  <c r="A67" i="28"/>
  <c r="B67" i="28"/>
  <c r="C67" i="28"/>
  <c r="B62" i="28"/>
  <c r="C62" i="28"/>
  <c r="A62" i="28"/>
  <c r="A57" i="28"/>
  <c r="B57" i="28"/>
  <c r="C57" i="28"/>
  <c r="A58" i="28"/>
  <c r="B58" i="28"/>
  <c r="C58" i="28"/>
  <c r="A59" i="28"/>
  <c r="B59" i="28"/>
  <c r="C59" i="28"/>
  <c r="A60" i="28"/>
  <c r="B60" i="28"/>
  <c r="C60" i="28"/>
  <c r="A61" i="28"/>
  <c r="B61" i="28"/>
  <c r="C61" i="28"/>
  <c r="B56" i="28"/>
  <c r="C56" i="28"/>
  <c r="A56" i="28"/>
  <c r="A51" i="28"/>
  <c r="B51" i="28"/>
  <c r="C51" i="28"/>
  <c r="A52" i="28"/>
  <c r="B52" i="28"/>
  <c r="C52" i="28"/>
  <c r="A53" i="28"/>
  <c r="B53" i="28"/>
  <c r="C53" i="28"/>
  <c r="A54" i="28"/>
  <c r="B54" i="28"/>
  <c r="C54" i="28"/>
  <c r="A55" i="28"/>
  <c r="B55" i="28"/>
  <c r="C55" i="28"/>
  <c r="B50" i="28"/>
  <c r="C50" i="28"/>
  <c r="A50" i="28"/>
  <c r="A45" i="28"/>
  <c r="B45" i="28"/>
  <c r="C45" i="28"/>
  <c r="A46" i="28"/>
  <c r="B46" i="28"/>
  <c r="C46" i="28"/>
  <c r="A47" i="28"/>
  <c r="B47" i="28"/>
  <c r="C47" i="28"/>
  <c r="A48" i="28"/>
  <c r="B48" i="28"/>
  <c r="C48" i="28"/>
  <c r="A49" i="28"/>
  <c r="B49" i="28"/>
  <c r="C49" i="28"/>
  <c r="B44" i="28"/>
  <c r="C44" i="28"/>
  <c r="A44" i="28"/>
  <c r="A43" i="28"/>
  <c r="B43" i="28"/>
  <c r="C43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B38" i="28"/>
  <c r="C38" i="28"/>
  <c r="A38" i="28"/>
  <c r="A33" i="28"/>
  <c r="B33" i="28"/>
  <c r="C33" i="28"/>
  <c r="A34" i="28"/>
  <c r="B34" i="28"/>
  <c r="C34" i="28"/>
  <c r="A35" i="28"/>
  <c r="B35" i="28"/>
  <c r="C35" i="28"/>
  <c r="A36" i="28"/>
  <c r="B36" i="28"/>
  <c r="C36" i="28"/>
  <c r="A37" i="28"/>
  <c r="B37" i="28"/>
  <c r="C37" i="28"/>
  <c r="B32" i="28"/>
  <c r="C32" i="28"/>
  <c r="A32" i="28"/>
  <c r="A27" i="28"/>
  <c r="B27" i="28"/>
  <c r="C27" i="28"/>
  <c r="A28" i="28"/>
  <c r="B28" i="28"/>
  <c r="C28" i="28"/>
  <c r="A29" i="28"/>
  <c r="B29" i="28"/>
  <c r="C29" i="28"/>
  <c r="A30" i="28"/>
  <c r="B30" i="28"/>
  <c r="C30" i="28"/>
  <c r="A31" i="28"/>
  <c r="B31" i="28"/>
  <c r="C31" i="28"/>
  <c r="B26" i="28"/>
  <c r="C26" i="28"/>
  <c r="A26" i="28"/>
  <c r="C2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A21" i="28"/>
  <c r="B21" i="28"/>
  <c r="A22" i="28"/>
  <c r="B22" i="28"/>
  <c r="A23" i="28"/>
  <c r="B23" i="28"/>
  <c r="A24" i="28"/>
  <c r="B24" i="28"/>
  <c r="A25" i="28"/>
  <c r="B25" i="28"/>
  <c r="B20" i="28"/>
  <c r="A20" i="28"/>
  <c r="A15" i="28"/>
  <c r="B15" i="28"/>
  <c r="A16" i="28"/>
  <c r="B16" i="28"/>
  <c r="A17" i="28"/>
  <c r="B17" i="28"/>
  <c r="A18" i="28"/>
  <c r="B18" i="28"/>
  <c r="A19" i="28"/>
  <c r="B19" i="28"/>
  <c r="B14" i="28"/>
  <c r="A14" i="28"/>
  <c r="A9" i="28"/>
  <c r="B9" i="28"/>
  <c r="A10" i="28"/>
  <c r="B10" i="28"/>
  <c r="A11" i="28"/>
  <c r="B11" i="28"/>
  <c r="A12" i="28"/>
  <c r="B12" i="28"/>
  <c r="A13" i="28"/>
  <c r="B13" i="28"/>
  <c r="B8" i="28"/>
  <c r="A8" i="28"/>
  <c r="B3" i="28"/>
  <c r="B4" i="28"/>
  <c r="B5" i="28"/>
  <c r="B6" i="28"/>
  <c r="B7" i="28"/>
  <c r="AN38" i="1"/>
  <c r="AN37" i="1"/>
  <c r="AN41" i="1" s="1"/>
  <c r="AN27" i="1"/>
  <c r="AN26" i="1"/>
  <c r="AN40" i="1" s="1"/>
  <c r="AN17" i="1"/>
  <c r="AN16" i="1"/>
  <c r="AN39" i="1" s="1"/>
  <c r="AN10" i="1"/>
  <c r="AN1" i="1"/>
  <c r="AK38" i="1"/>
  <c r="AK37" i="1"/>
  <c r="AK41" i="1" s="1"/>
  <c r="AK27" i="1"/>
  <c r="AK26" i="1"/>
  <c r="AK40" i="1" s="1"/>
  <c r="AK17" i="1"/>
  <c r="AK16" i="1"/>
  <c r="AK39" i="1" s="1"/>
  <c r="AK10" i="1"/>
  <c r="AK1" i="1"/>
  <c r="AH38" i="1"/>
  <c r="AH37" i="1"/>
  <c r="AH41" i="1" s="1"/>
  <c r="AH27" i="1"/>
  <c r="AH26" i="1"/>
  <c r="AH40" i="1" s="1"/>
  <c r="AH17" i="1"/>
  <c r="AH16" i="1"/>
  <c r="AH39" i="1" s="1"/>
  <c r="AH10" i="1"/>
  <c r="AH1" i="1"/>
  <c r="B2" i="28"/>
  <c r="A3" i="28"/>
  <c r="A4" i="28"/>
  <c r="A5" i="28"/>
  <c r="A6" i="28"/>
  <c r="A7" i="28"/>
  <c r="A2" i="28"/>
  <c r="G1" i="1"/>
  <c r="J1" i="1"/>
  <c r="M1" i="1"/>
  <c r="P1" i="1"/>
  <c r="S1" i="1"/>
  <c r="V1" i="1"/>
  <c r="Y1" i="1"/>
  <c r="AB1" i="1"/>
  <c r="AE1" i="1"/>
  <c r="D1" i="1"/>
  <c r="AE37" i="1"/>
  <c r="AB37" i="1"/>
  <c r="Y37" i="1"/>
  <c r="V37" i="1"/>
  <c r="S37" i="1"/>
  <c r="P37" i="1"/>
  <c r="M37" i="1"/>
  <c r="G37" i="1"/>
  <c r="D37" i="1"/>
  <c r="J37" i="1"/>
  <c r="E31" i="17"/>
  <c r="E31" i="61" a="1"/>
  <c r="C32" i="52" a="1"/>
  <c r="C33" i="55" a="1"/>
  <c r="B22" i="57" a="1"/>
  <c r="B15" i="59" a="1"/>
  <c r="B19" i="50" a="1"/>
  <c r="C30" i="58" a="1"/>
  <c r="E21" i="52" a="1"/>
  <c r="F11" i="57" a="1"/>
  <c r="B30" i="61" a="1"/>
  <c r="E29" i="55" a="1"/>
  <c r="E32" i="53" a="1"/>
  <c r="C15" i="60" a="1"/>
  <c r="C15" i="58" a="1"/>
  <c r="C19" i="55" a="1"/>
  <c r="C16" i="59" a="1"/>
  <c r="B47" i="59" a="1"/>
  <c r="B37" i="58" a="1"/>
  <c r="B30" i="52" a="1"/>
  <c r="F10" i="54" a="1"/>
  <c r="D16" i="61" a="1"/>
  <c r="B12" i="58" a="1"/>
  <c r="C45" i="57" a="1"/>
  <c r="B5" i="57" a="1"/>
  <c r="D5" i="55" a="1"/>
  <c r="D16" i="57" a="1"/>
  <c r="B15" i="57" a="1"/>
  <c r="B41" i="50"/>
  <c r="B13" i="61" a="1"/>
  <c r="B47" i="54" a="1"/>
  <c r="C28" i="57" a="1"/>
  <c r="E5" i="50" a="1"/>
  <c r="C25" i="61" a="1"/>
  <c r="C42" i="57" a="1"/>
  <c r="C9" i="54" a="1"/>
  <c r="D33" i="51" a="1"/>
  <c r="D9" i="59" a="1"/>
  <c r="B19" i="55" a="1"/>
  <c r="E7" i="52" a="1"/>
  <c r="C39" i="58" a="1"/>
  <c r="C28" i="53" a="1"/>
  <c r="C13" i="53" a="1"/>
  <c r="C44" i="55" a="1"/>
  <c r="B44" i="59" a="1"/>
  <c r="D16" i="56" a="1"/>
  <c r="F11" i="51" a="1"/>
  <c r="D8" i="54" a="1"/>
  <c r="E35" i="55" a="1"/>
  <c r="C42" i="60" a="1"/>
  <c r="C34" i="54" a="1"/>
  <c r="B42" i="55" a="1"/>
  <c r="B35" i="61" a="1"/>
  <c r="C33" i="59" a="1"/>
  <c r="B7" i="55" a="1"/>
  <c r="C12" i="58" a="1"/>
  <c r="C33" i="51" a="1"/>
  <c r="C8" i="58" a="1"/>
  <c r="C46" i="59" a="1"/>
  <c r="E36" i="53" a="1"/>
  <c r="C41" i="55" a="1"/>
  <c r="C27" i="59" a="1"/>
  <c r="C16" i="50" a="1"/>
  <c r="B19" i="59" a="1"/>
  <c r="B19" i="57" a="1"/>
  <c r="C25" i="51" a="1"/>
  <c r="C23" i="51" a="1"/>
  <c r="B29" i="56" a="1"/>
  <c r="E40" i="53" a="1"/>
  <c r="D9" i="56" a="1"/>
  <c r="B22" i="54" a="1"/>
  <c r="B31" i="56" a="1"/>
  <c r="E24" i="51" a="1"/>
  <c r="C26" i="59" a="1"/>
  <c r="C22" i="53" a="1"/>
  <c r="E8" i="55" a="1"/>
  <c r="E7" i="61" a="1"/>
  <c r="F11" i="61" a="1"/>
  <c r="C19" i="50" a="1"/>
  <c r="C30" i="60" a="1"/>
  <c r="B9" i="50" a="1"/>
  <c r="C45" i="58" a="1"/>
  <c r="C47" i="60" a="1"/>
  <c r="B26" i="50" a="1"/>
  <c r="D18" i="61" a="1"/>
  <c r="C44" i="50" a="1"/>
  <c r="C11" i="57" a="1"/>
  <c r="B6" i="54" a="1"/>
  <c r="C37" i="61" a="1"/>
  <c r="B43" i="60" a="1"/>
  <c r="B38" i="60" a="1"/>
  <c r="C24" i="61" a="1"/>
  <c r="B28" i="56" a="1"/>
  <c r="C11" i="61" a="1"/>
  <c r="B23" i="60" a="1"/>
  <c r="B21" i="60" a="1"/>
  <c r="B2" i="53" a="1"/>
  <c r="D16" i="52" a="1"/>
  <c r="E14" i="58" a="1"/>
  <c r="E21" i="59" a="1"/>
  <c r="C12" i="57" a="1"/>
  <c r="B20" i="57" a="1"/>
  <c r="F7" i="54" a="1"/>
  <c r="C15" i="55" a="1"/>
  <c r="B18" i="52" a="1"/>
  <c r="B16" i="60" a="1"/>
  <c r="C23" i="61" a="1"/>
  <c r="B13" i="52" a="1"/>
  <c r="B40" i="53" a="1"/>
  <c r="B32" i="57" a="1"/>
  <c r="C11" i="55" a="1"/>
  <c r="E6" i="58" a="1"/>
  <c r="C26" i="51" a="1"/>
  <c r="B46" i="51" a="1"/>
  <c r="B39" i="56" a="1"/>
  <c r="B44" i="55" a="1"/>
  <c r="C38" i="53" a="1"/>
  <c r="C47" i="57" a="1"/>
  <c r="D33" i="57" a="1"/>
  <c r="C47" i="54" a="1"/>
  <c r="B15" i="51" a="1"/>
  <c r="B22" i="60" a="1"/>
  <c r="B14" i="57" a="1"/>
  <c r="C46" i="53" a="1"/>
  <c r="B40" i="50" a="1"/>
  <c r="D18" i="57" a="1"/>
  <c r="B30" i="54" a="1"/>
  <c r="C22" i="55" a="1"/>
  <c r="C38" i="60" a="1"/>
  <c r="B23" i="50" a="1"/>
  <c r="D35" i="55" a="1"/>
  <c r="D18" i="56" a="1"/>
  <c r="C33" i="57" a="1"/>
  <c r="B44" i="56" a="1"/>
  <c r="C18" i="51" a="1"/>
  <c r="C18" i="52" a="1"/>
  <c r="B17" i="61" a="1"/>
  <c r="D26" i="58" a="1"/>
  <c r="C13" i="61" a="1"/>
  <c r="B35" i="60" a="1"/>
  <c r="E12" i="53" a="1"/>
  <c r="C38" i="57" a="1"/>
  <c r="C6" i="52" a="1"/>
  <c r="F10" i="57" a="1"/>
  <c r="B15" i="55" a="1"/>
  <c r="B39" i="60" a="1"/>
  <c r="B17" i="52" a="1"/>
  <c r="C24" i="60" a="1"/>
  <c r="B18" i="57" a="1"/>
  <c r="E32" i="55" a="1"/>
  <c r="E25" i="53" a="1"/>
  <c r="B36" i="53" a="1"/>
  <c r="E38" i="53" a="1"/>
  <c r="B52" i="61"/>
  <c r="D37" i="59" a="1"/>
  <c r="C10" i="51" a="1"/>
  <c r="B18" i="56" a="1"/>
  <c r="C22" i="58" a="1"/>
  <c r="C25" i="54" a="1"/>
  <c r="B26" i="55" a="1"/>
  <c r="C42" i="52" a="1"/>
  <c r="B27" i="60" a="1"/>
  <c r="B44" i="52" a="1"/>
  <c r="B30" i="55" a="1"/>
  <c r="B8" i="61" a="1"/>
  <c r="B12" i="56" a="1"/>
  <c r="B22" i="55" a="1"/>
  <c r="B7" i="58" a="1"/>
  <c r="F9" i="57" a="1"/>
  <c r="D39" i="57" a="1"/>
  <c r="B7" i="53" a="1"/>
  <c r="B45" i="54" a="1"/>
  <c r="C20" i="52" a="1"/>
  <c r="C30" i="61" a="1"/>
  <c r="C18" i="56" a="1"/>
  <c r="C38" i="54" a="1"/>
  <c r="B25" i="59" a="1"/>
  <c r="B33" i="57" a="1"/>
  <c r="B17" i="50" a="1"/>
  <c r="B6" i="50" a="1"/>
  <c r="D18" i="53" a="1"/>
  <c r="B40" i="61" a="1"/>
  <c r="C42" i="61" a="1"/>
  <c r="E5" i="57" a="1"/>
  <c r="C39" i="52" a="1"/>
  <c r="C25" i="50" a="1"/>
  <c r="B25" i="51" a="1"/>
  <c r="D5" i="53" a="1"/>
  <c r="B38" i="51" a="1"/>
  <c r="C27" i="57" a="1"/>
  <c r="D39" i="53" a="1"/>
  <c r="B46" i="56" a="1"/>
  <c r="B24" i="56" a="1"/>
  <c r="B14" i="50" a="1"/>
  <c r="B27" i="50" a="1"/>
  <c r="B41" i="52"/>
  <c r="B33" i="56" a="1"/>
  <c r="C22" i="52" a="1"/>
  <c r="C41" i="58" a="1"/>
  <c r="B28" i="57" a="1"/>
  <c r="E35" i="53" a="1"/>
  <c r="C10" i="50" a="1"/>
  <c r="B17" i="55" a="1"/>
  <c r="C37" i="52" a="1"/>
  <c r="B46" i="53" a="1"/>
  <c r="C12" i="55" a="1"/>
  <c r="C32" i="51" a="1"/>
  <c r="B36" i="59" a="1"/>
  <c r="C28" i="58" a="1"/>
  <c r="E36" i="55" a="1"/>
  <c r="B5" i="52" a="1"/>
  <c r="B29" i="58" a="1"/>
  <c r="B38" i="56" a="1"/>
  <c r="C11" i="58" a="1"/>
  <c r="B7" i="54" a="1"/>
  <c r="C30" i="50" a="1"/>
  <c r="C27" i="61" a="1"/>
  <c r="B16" i="54" a="1"/>
  <c r="B37" i="61" a="1"/>
  <c r="C46" i="61" a="1"/>
  <c r="B43" i="52" a="1"/>
  <c r="D12" i="53" a="1"/>
  <c r="B27" i="61" a="1"/>
  <c r="B7" i="59" a="1"/>
  <c r="B25" i="57" a="1"/>
  <c r="C44" i="51" a="1"/>
  <c r="E31" i="60" a="1"/>
  <c r="B42" i="57" a="1"/>
  <c r="C38" i="59" a="1"/>
  <c r="B37" i="54" a="1"/>
  <c r="B44" i="58" a="1"/>
  <c r="B47" i="52" a="1"/>
  <c r="D35" i="53" a="1"/>
  <c r="B42" i="56" a="1"/>
  <c r="C15" i="53" a="1"/>
  <c r="B42" i="59" a="1"/>
  <c r="B24" i="57" a="1"/>
  <c r="B9" i="56" a="1"/>
  <c r="B41" i="54"/>
  <c r="B14" i="56" a="1"/>
  <c r="D12" i="55" a="1"/>
  <c r="B18" i="59" a="1"/>
  <c r="B41" i="59"/>
  <c r="C10" i="52" a="1"/>
  <c r="B18" i="53" a="1"/>
  <c r="E6" i="51" a="1"/>
  <c r="D7" i="55" a="1"/>
  <c r="C19" i="61" a="1"/>
  <c r="E17" i="53" a="1"/>
  <c r="C8" i="51" a="1"/>
  <c r="E39" i="53" a="1"/>
  <c r="E29" i="53" a="1"/>
  <c r="C33" i="53" a="1"/>
  <c r="B23" i="58" a="1"/>
  <c r="B46" i="60" a="1"/>
  <c r="B32" i="60" a="1"/>
  <c r="C34" i="55" a="1"/>
  <c r="C33" i="56" a="1"/>
  <c r="B47" i="55" a="1"/>
  <c r="E14" i="57" a="1"/>
  <c r="C35" i="52" a="1"/>
  <c r="C24" i="59" a="1"/>
  <c r="B7" i="57" a="1"/>
  <c r="C35" i="60" a="1"/>
  <c r="E7" i="55" a="1"/>
  <c r="E8" i="54" a="1"/>
  <c r="E21" i="60" a="1"/>
  <c r="B8" i="57" a="1"/>
  <c r="B16" i="56" a="1"/>
  <c r="C28" i="61" a="1"/>
  <c r="B5" i="54" a="1"/>
  <c r="C10" i="58" a="1"/>
  <c r="C41" i="59" a="1"/>
  <c r="B33" i="55" a="1"/>
  <c r="C32" i="58" a="1"/>
  <c r="B24" i="58" a="1"/>
  <c r="B31" i="55" a="1"/>
  <c r="E11" i="53" a="1"/>
  <c r="C43" i="61" a="1"/>
  <c r="E16" i="59" a="1"/>
  <c r="B50" i="61"/>
  <c r="B29" i="55" a="1"/>
  <c r="B42" i="60" a="1"/>
  <c r="C43" i="52" a="1"/>
  <c r="E10" i="59" a="1"/>
  <c r="E27" i="59" a="1"/>
  <c r="E15" i="53" a="1"/>
  <c r="B36" i="52" a="1"/>
  <c r="B15" i="58" a="1"/>
  <c r="C38" i="55" a="1"/>
  <c r="B37" i="57" a="1"/>
  <c r="B32" i="55" a="1"/>
  <c r="C26" i="50" a="1"/>
  <c r="B40" i="60" a="1"/>
  <c r="B34" i="55" a="1"/>
  <c r="F12" i="55" a="1"/>
  <c r="C7" i="60" a="1"/>
  <c r="B39" i="58" a="1"/>
  <c r="C16" i="55" a="1"/>
  <c r="B6" i="53" a="1"/>
  <c r="C25" i="60" a="1"/>
  <c r="C23" i="57" a="1"/>
  <c r="B21" i="52" a="1"/>
  <c r="E14" i="61" a="1"/>
  <c r="D13" i="58" a="1"/>
  <c r="C26" i="55" a="1"/>
  <c r="C25" i="56" a="1"/>
  <c r="B33" i="58" a="1"/>
  <c r="D38" i="55" a="1"/>
  <c r="C7" i="57" a="1"/>
  <c r="C15" i="56" a="1"/>
  <c r="E31" i="52" a="1"/>
  <c r="C7" i="52" a="1"/>
  <c r="E11" i="59" a="1"/>
  <c r="C36" i="55" a="1"/>
  <c r="C43" i="51" a="1"/>
  <c r="B19" i="60" a="1"/>
  <c r="E32" i="59" a="1"/>
  <c r="B44" i="51" a="1"/>
  <c r="E12" i="58" a="1"/>
  <c r="B45" i="60" a="1"/>
  <c r="C5" i="60" a="1"/>
  <c r="B41" i="60"/>
  <c r="B27" i="54" a="1"/>
  <c r="E44" i="59" a="1"/>
  <c r="C43" i="57" a="1"/>
  <c r="C40" i="50" a="1"/>
  <c r="C44" i="59" a="1"/>
  <c r="E38" i="59" a="1"/>
  <c r="B14" i="53" a="1"/>
  <c r="C20" i="53" a="1"/>
  <c r="C15" i="59" a="1"/>
  <c r="D27" i="59" a="1"/>
  <c r="E39" i="58" a="1"/>
  <c r="C8" i="57" a="1"/>
  <c r="C30" i="54" a="1"/>
  <c r="B42" i="58" a="1"/>
  <c r="C37" i="59" a="1"/>
  <c r="F10" i="51" a="1"/>
  <c r="C22" i="61" a="1"/>
  <c r="B42" i="61" a="1"/>
  <c r="B43" i="54" a="1"/>
  <c r="C42" i="54" a="1"/>
  <c r="B9" i="58" a="1"/>
  <c r="B27" i="57" a="1"/>
  <c r="E31" i="55" a="1"/>
  <c r="C29" i="50" a="1"/>
  <c r="C7" i="58" a="1"/>
  <c r="E4" i="53" a="1"/>
  <c r="E40" i="59" a="1"/>
  <c r="B28" i="60" a="1"/>
  <c r="B24" i="61" a="1"/>
  <c r="B47" i="50" a="1"/>
  <c r="C6" i="53" a="1"/>
  <c r="B45" i="57" a="1"/>
  <c r="B23" i="59" a="1"/>
  <c r="C40" i="61" a="1"/>
  <c r="C6" i="56" a="1"/>
  <c r="B7" i="51" a="1"/>
  <c r="B43" i="51" a="1"/>
  <c r="E6" i="57" a="1"/>
  <c r="C47" i="59" a="1"/>
  <c r="D16" i="55" a="1"/>
  <c r="D8" i="52" a="1"/>
  <c r="E22" i="51" a="1"/>
  <c r="E4" i="57" a="1"/>
  <c r="C37" i="50" a="1"/>
  <c r="C6" i="61" a="1"/>
  <c r="C41" i="53" a="1"/>
  <c r="B24" i="54" a="1"/>
  <c r="C26" i="61" a="1"/>
  <c r="D8" i="61" a="1"/>
  <c r="B31" i="53" a="1"/>
  <c r="C27" i="58" a="1"/>
  <c r="C23" i="55" a="1"/>
  <c r="C19" i="58" a="1"/>
  <c r="C36" i="51" a="1"/>
  <c r="C17" i="50" a="1"/>
  <c r="C29" i="54" a="1"/>
  <c r="E6" i="50" a="1"/>
  <c r="C29" i="56" a="1"/>
  <c r="C5" i="56" a="1"/>
  <c r="C17" i="52" a="1"/>
  <c r="B5" i="60" a="1"/>
  <c r="E15" i="56" a="1"/>
  <c r="B13" i="56" a="1"/>
  <c r="B44" i="57" a="1"/>
  <c r="C23" i="53" a="1"/>
  <c r="F7" i="56" a="1"/>
  <c r="D25" i="59" a="1"/>
  <c r="B21" i="58" a="1"/>
  <c r="C13" i="56" a="1"/>
  <c r="C27" i="51" a="1"/>
  <c r="C45" i="61" a="1"/>
  <c r="C15" i="50" a="1"/>
  <c r="C30" i="59" a="1"/>
  <c r="C44" i="52" a="1"/>
  <c r="D34" i="55" a="1"/>
  <c r="C8" i="61" a="1"/>
  <c r="C23" i="58" a="1"/>
  <c r="C46" i="56" a="1"/>
  <c r="F9" i="59" a="1"/>
  <c r="C17" i="56" a="1"/>
  <c r="C25" i="52" a="1"/>
  <c r="C11" i="56" a="1"/>
  <c r="B40" i="52" a="1"/>
  <c r="C32" i="59" a="1"/>
  <c r="B24" i="55" a="1"/>
  <c r="C34" i="57" a="1"/>
  <c r="C46" i="57" a="1"/>
  <c r="C16" i="58" a="1"/>
  <c r="E29" i="59" a="1"/>
  <c r="C27" i="54" a="1"/>
  <c r="E21" i="51" a="1"/>
  <c r="C33" i="60" a="1"/>
  <c r="B43" i="55" a="1"/>
  <c r="B9" i="53" a="1"/>
  <c r="D22" i="56" a="1"/>
  <c r="E6" i="53" a="1"/>
  <c r="B12" i="57" a="1"/>
  <c r="B35" i="52" a="1"/>
  <c r="B47" i="51" a="1"/>
  <c r="B18" i="54" a="1"/>
  <c r="D37" i="55" a="1"/>
  <c r="B34" i="60" a="1"/>
  <c r="B35" i="55" a="1"/>
  <c r="B35" i="57" a="1"/>
  <c r="C42" i="59" a="1"/>
  <c r="B38" i="55" a="1"/>
  <c r="B12" i="52" a="1"/>
  <c r="C6" i="51" a="1"/>
  <c r="C7" i="55" a="1"/>
  <c r="E19" i="53" a="1"/>
  <c r="C44" i="54" a="1"/>
  <c r="B37" i="50" a="1"/>
  <c r="B42" i="53" a="1"/>
  <c r="B12" i="55" a="1"/>
  <c r="E31" i="54" a="1"/>
  <c r="B7" i="61" a="1"/>
  <c r="E27" i="57" a="1"/>
  <c r="E4" i="55" a="1"/>
  <c r="C23" i="50" a="1"/>
  <c r="B21" i="53" a="1"/>
  <c r="E18" i="56" a="1"/>
  <c r="B34" i="57" a="1"/>
  <c r="E16" i="53" a="1"/>
  <c r="B17" i="56" a="1"/>
  <c r="B36" i="51" a="1"/>
  <c r="C12" i="59" a="1"/>
  <c r="B12" i="60" a="1"/>
  <c r="C27" i="60" a="1"/>
  <c r="E14" i="60" a="1"/>
  <c r="C17" i="51" a="1"/>
  <c r="E14" i="56" a="1"/>
  <c r="B50" i="58"/>
  <c r="B26" i="53" a="1"/>
  <c r="C40" i="52" a="1"/>
  <c r="C39" i="51" a="1"/>
  <c r="D7" i="58" a="1"/>
  <c r="B29" i="59" a="1"/>
  <c r="B8" i="55" a="1"/>
  <c r="C39" i="55" a="1"/>
  <c r="B7" i="52" a="1"/>
  <c r="C32" i="53" a="1"/>
  <c r="B40" i="54" a="1"/>
  <c r="D8" i="56" a="1"/>
  <c r="C35" i="54" a="1"/>
  <c r="C22" i="60" a="1"/>
  <c r="C20" i="50" a="1"/>
  <c r="C5" i="50" a="1"/>
  <c r="C22" i="59" a="1"/>
  <c r="C22" i="50" a="1"/>
  <c r="C47" i="55" a="1"/>
  <c r="B7" i="56" a="1"/>
  <c r="B43" i="58" a="1"/>
  <c r="C9" i="55" a="1"/>
  <c r="E16" i="60" a="1"/>
  <c r="D11" i="53" a="1"/>
  <c r="D24" i="56" a="1"/>
  <c r="B23" i="61" a="1"/>
  <c r="B43" i="59" a="1"/>
  <c r="B40" i="56" a="1"/>
  <c r="B15" i="52" a="1"/>
  <c r="C33" i="50" a="1"/>
  <c r="B30" i="53" a="1"/>
  <c r="C36" i="60" a="1"/>
  <c r="C46" i="52" a="1"/>
  <c r="C33" i="61" a="1"/>
  <c r="B50" i="55"/>
  <c r="B16" i="52" a="1"/>
  <c r="D38" i="57" a="1"/>
  <c r="B16" i="51" a="1"/>
  <c r="B35" i="50" a="1"/>
  <c r="C7" i="51" a="1"/>
  <c r="B13" i="58" a="1"/>
  <c r="D11" i="56" a="1"/>
  <c r="C46" i="55" a="1"/>
  <c r="C29" i="59" a="1"/>
  <c r="B6" i="57" a="1"/>
  <c r="B32" i="56" a="1"/>
  <c r="C11" i="51" a="1"/>
  <c r="C20" i="60" a="1"/>
  <c r="B12" i="54" a="1"/>
  <c r="B39" i="54" a="1"/>
  <c r="C40" i="59" a="1"/>
  <c r="D13" i="59" a="1"/>
  <c r="C13" i="57" a="1"/>
  <c r="C10" i="56" a="1"/>
  <c r="B34" i="61" a="1"/>
  <c r="B8" i="60" a="1"/>
  <c r="B37" i="51" a="1"/>
  <c r="C29" i="55" a="1"/>
  <c r="D43" i="59" a="1"/>
  <c r="E17" i="56" a="1"/>
  <c r="D26" i="59" a="1"/>
  <c r="B23" i="55" a="1"/>
  <c r="D38" i="60" a="1"/>
  <c r="B32" i="59" a="1"/>
  <c r="B5" i="51" a="1"/>
  <c r="C6" i="57" a="1"/>
  <c r="B6" i="55" a="1"/>
  <c r="C46" i="51" a="1"/>
  <c r="E4" i="56" a="1"/>
  <c r="B47" i="56" a="1"/>
  <c r="B25" i="60" a="1"/>
  <c r="C19" i="60" a="1"/>
  <c r="B29" i="51" a="1"/>
  <c r="C6" i="54" a="1"/>
  <c r="C5" i="61" a="1"/>
  <c r="B42" i="54" a="1"/>
  <c r="B39" i="55" a="1"/>
  <c r="B20" i="55" a="1"/>
  <c r="E7" i="50" a="1"/>
  <c r="B17" i="58" a="1"/>
  <c r="B15" i="50" a="1"/>
  <c r="C43" i="60" a="1"/>
  <c r="B33" i="54" a="1"/>
  <c r="B45" i="56" a="1"/>
  <c r="B25" i="53" a="1"/>
  <c r="D32" i="53" a="1"/>
  <c r="C17" i="58" a="1"/>
  <c r="B41" i="58"/>
  <c r="B15" i="54" a="1"/>
  <c r="B38" i="58" a="1"/>
  <c r="C37" i="51" a="1"/>
  <c r="B5" i="50" a="1"/>
  <c r="C29" i="57" a="1"/>
  <c r="B37" i="60" a="1"/>
  <c r="E39" i="51" a="1"/>
  <c r="B16" i="61" a="1"/>
  <c r="B12" i="51" a="1"/>
  <c r="C24" i="55" a="1"/>
  <c r="C28" i="51" a="1"/>
  <c r="C20" i="57" a="1"/>
  <c r="B8" i="58" a="1"/>
  <c r="F7" i="60" a="1"/>
  <c r="B19" i="54" a="1"/>
  <c r="C47" i="50" a="1"/>
  <c r="B43" i="57" a="1"/>
  <c r="E5" i="53" a="1"/>
  <c r="B41" i="51"/>
  <c r="C13" i="54" a="1"/>
  <c r="B20" i="53" a="1"/>
  <c r="B28" i="61" a="1"/>
  <c r="B17" i="59" a="1"/>
  <c r="B6" i="59" a="1"/>
  <c r="C24" i="50" a="1"/>
  <c r="D12" i="60" a="1"/>
  <c r="C44" i="61" a="1"/>
  <c r="B18" i="51" a="1"/>
  <c r="B24" i="60" a="1"/>
  <c r="B44" i="50" a="1"/>
  <c r="B30" i="58" a="1"/>
  <c r="E4" i="61" a="1"/>
  <c r="C8" i="55" a="1"/>
  <c r="C9" i="61" a="1"/>
  <c r="E4" i="52" a="1"/>
  <c r="B23" i="53" a="1"/>
  <c r="C17" i="54" a="1"/>
  <c r="B50" i="52"/>
  <c r="C29" i="60" a="1"/>
  <c r="C37" i="53" a="1"/>
  <c r="C38" i="56" a="1"/>
  <c r="C35" i="57" a="1"/>
  <c r="C40" i="53" a="1"/>
  <c r="B13" i="54" a="1"/>
  <c r="B22" i="53" a="1"/>
  <c r="D17" i="53" a="1"/>
  <c r="C27" i="53" a="1"/>
  <c r="B45" i="61" a="1"/>
  <c r="C39" i="60" a="1"/>
  <c r="B13" i="53" a="1"/>
  <c r="B39" i="61" a="1"/>
  <c r="C13" i="58" a="1"/>
  <c r="B29" i="53" a="1"/>
  <c r="B41" i="57"/>
  <c r="C17" i="61" a="1"/>
  <c r="B27" i="51" a="1"/>
  <c r="B35" i="56" a="1"/>
  <c r="C23" i="59" a="1"/>
  <c r="B47" i="58" a="1"/>
  <c r="B8" i="50" a="1"/>
  <c r="C42" i="51" a="1"/>
  <c r="C47" i="56" a="1"/>
  <c r="B35" i="53" a="1"/>
  <c r="D38" i="59" a="1"/>
  <c r="C12" i="54" a="1"/>
  <c r="C36" i="53" a="1"/>
  <c r="B31" i="58" a="1"/>
  <c r="C26" i="57" a="1"/>
  <c r="C9" i="51" a="1"/>
  <c r="C41" i="54" a="1"/>
  <c r="C7" i="61" a="1"/>
  <c r="E21" i="55" a="1"/>
  <c r="C30" i="53" a="1"/>
  <c r="B36" i="57" a="1"/>
  <c r="D28" i="53" a="1"/>
  <c r="C20" i="56" a="1"/>
  <c r="C25" i="59" a="1"/>
  <c r="B5" i="55" a="1"/>
  <c r="C24" i="57" a="1"/>
  <c r="C35" i="61" a="1"/>
  <c r="B16" i="55" a="1"/>
  <c r="C45" i="55" a="1"/>
  <c r="B44" i="61" a="1"/>
  <c r="B8" i="59" a="1"/>
  <c r="B26" i="59" a="1"/>
  <c r="B13" i="57" a="1"/>
  <c r="B42" i="51" a="1"/>
  <c r="E31" i="57" a="1"/>
  <c r="E39" i="59" a="1"/>
  <c r="B20" i="50" a="1"/>
  <c r="C19" i="57" a="1"/>
  <c r="B31" i="51" a="1"/>
  <c r="B15" i="61" a="1"/>
  <c r="E37" i="53" a="1"/>
  <c r="C46" i="54" a="1"/>
  <c r="C12" i="52" a="1"/>
  <c r="B5" i="59" a="1"/>
  <c r="E21" i="61" a="1"/>
  <c r="E18" i="53" a="1"/>
  <c r="C40" i="55" a="1"/>
  <c r="C28" i="59" a="1"/>
  <c r="B28" i="54" a="1"/>
  <c r="C42" i="53" a="1"/>
  <c r="B50" i="56"/>
  <c r="E31" i="59" a="1"/>
  <c r="D17" i="51" a="1"/>
  <c r="B14" i="51" a="1"/>
  <c r="B27" i="58" a="1"/>
  <c r="B21" i="61" a="1"/>
  <c r="E14" i="53" a="1"/>
  <c r="E24" i="53" a="1"/>
  <c r="B50" i="60"/>
  <c r="C8" i="56" a="1"/>
  <c r="D19" i="60" a="1"/>
  <c r="C18" i="57" a="1"/>
  <c r="B21" i="56" a="1"/>
  <c r="C43" i="55" a="1"/>
  <c r="C34" i="53" a="1"/>
  <c r="B27" i="53" a="1"/>
  <c r="D36" i="60" a="1"/>
  <c r="B20" i="59" a="1"/>
  <c r="C35" i="55" a="1"/>
  <c r="B47" i="60" a="1"/>
  <c r="B28" i="51" a="1"/>
  <c r="C32" i="55" a="1"/>
  <c r="B40" i="59" a="1"/>
  <c r="B40" i="58" a="1"/>
  <c r="E35" i="57" a="1"/>
  <c r="C39" i="59" a="1"/>
  <c r="C6" i="55" a="1"/>
  <c r="D29" i="58" a="1"/>
  <c r="F7" i="59" a="1"/>
  <c r="C45" i="56" a="1"/>
  <c r="B35" i="58" a="1"/>
  <c r="C29" i="61" a="1"/>
  <c r="C29" i="51" a="1"/>
  <c r="E14" i="52" a="1"/>
  <c r="C37" i="60" a="1"/>
  <c r="C18" i="54" a="1"/>
  <c r="C40" i="58" a="1"/>
  <c r="C30" i="57" a="1"/>
  <c r="B13" i="51" a="1"/>
  <c r="B14" i="54" a="1"/>
  <c r="F7" i="55" a="1"/>
  <c r="C38" i="50" a="1"/>
  <c r="B50" i="57"/>
  <c r="B29" i="60" a="1"/>
  <c r="C26" i="58" a="1"/>
  <c r="B39" i="59" a="1"/>
  <c r="B34" i="56" a="1"/>
  <c r="C36" i="59" a="1"/>
  <c r="C12" i="50" a="1"/>
  <c r="C37" i="58" a="1"/>
  <c r="B26" i="58" a="1"/>
  <c r="C28" i="54" a="1"/>
  <c r="B23" i="52" a="1"/>
  <c r="C41" i="56" a="1"/>
  <c r="C25" i="57" a="1"/>
  <c r="B22" i="51" a="1"/>
  <c r="B44" i="60" a="1"/>
  <c r="C15" i="57" a="1"/>
  <c r="E23" i="53" a="1"/>
  <c r="C24" i="54" a="1"/>
  <c r="C36" i="52" a="1"/>
  <c r="E18" i="59" a="1"/>
  <c r="B33" i="50" a="1"/>
  <c r="C43" i="56" a="1"/>
  <c r="B33" i="53" a="1"/>
  <c r="E36" i="57" a="1"/>
  <c r="B44" i="54" a="1"/>
  <c r="B19" i="56" a="1"/>
  <c r="B22" i="56" a="1"/>
  <c r="E14" i="51" a="1"/>
  <c r="B33" i="59" a="1"/>
  <c r="C36" i="61" a="1"/>
  <c r="B18" i="60" a="1"/>
  <c r="B9" i="61" a="1"/>
  <c r="C16" i="61" a="1"/>
  <c r="B22" i="58" a="1"/>
  <c r="B34" i="59" a="1"/>
  <c r="B16" i="57" a="1"/>
  <c r="E34" i="53" a="1"/>
  <c r="C43" i="59" a="1"/>
  <c r="C37" i="54" a="1"/>
  <c r="B19" i="52" a="1"/>
  <c r="B19" i="58" a="1"/>
  <c r="C45" i="60" a="1"/>
  <c r="E26" i="55" a="1"/>
  <c r="C16" i="60" a="1"/>
  <c r="B30" i="56" a="1"/>
  <c r="D26" i="53" a="1"/>
  <c r="B27" i="52" a="1"/>
  <c r="E40" i="55" a="1"/>
  <c r="B13" i="55" a="1"/>
  <c r="C11" i="60" a="1"/>
  <c r="D39" i="60" a="1"/>
  <c r="C47" i="52" a="1"/>
  <c r="C41" i="50" a="1"/>
  <c r="B35" i="51" a="1"/>
  <c r="C39" i="50" a="1"/>
  <c r="C34" i="50" a="1"/>
  <c r="C10" i="57" a="1"/>
  <c r="B34" i="50" a="1"/>
  <c r="B9" i="57" a="1"/>
  <c r="B43" i="53" a="1"/>
  <c r="C45" i="54" a="1"/>
  <c r="C8" i="50" a="1"/>
  <c r="C7" i="50" a="1"/>
  <c r="C34" i="52" a="1"/>
  <c r="B19" i="53" a="1"/>
  <c r="D27" i="56" a="1"/>
  <c r="D25" i="56" a="1"/>
  <c r="B29" i="52" a="1"/>
  <c r="C24" i="56" a="1"/>
  <c r="C7" i="54" a="1"/>
  <c r="C19" i="51" a="1"/>
  <c r="B43" i="56" a="1"/>
  <c r="E21" i="56" a="1"/>
  <c r="B38" i="61" a="1"/>
  <c r="B25" i="58" a="1"/>
  <c r="E43" i="59" a="1"/>
  <c r="E21" i="58" a="1"/>
  <c r="E4" i="58" a="1"/>
  <c r="B20" i="52" a="1"/>
  <c r="E39" i="55" a="1"/>
  <c r="B36" i="55" a="1"/>
  <c r="C23" i="56" a="1"/>
  <c r="C43" i="54" a="1"/>
  <c r="E7" i="51" a="1"/>
  <c r="B28" i="55" a="1"/>
  <c r="B23" i="54" a="1"/>
  <c r="C9" i="58" a="1"/>
  <c r="C17" i="60" a="1"/>
  <c r="C27" i="55" a="1"/>
  <c r="C6" i="59" a="1"/>
  <c r="B43" i="50" a="1"/>
  <c r="B17" i="53" a="1"/>
  <c r="E17" i="59" a="1"/>
  <c r="C10" i="61" a="1"/>
  <c r="C35" i="51" a="1"/>
  <c r="B39" i="51" a="1"/>
  <c r="C8" i="60" a="1"/>
  <c r="E26" i="53" a="1"/>
  <c r="B20" i="51" a="1"/>
  <c r="C46" i="60" a="1"/>
  <c r="B39" i="53" a="1"/>
  <c r="B16" i="53" a="1"/>
  <c r="D10" i="51" a="1"/>
  <c r="C45" i="53" a="1"/>
  <c r="B16" i="59" a="1"/>
  <c r="B32" i="58" a="1"/>
  <c r="D8" i="58" a="1"/>
  <c r="B38" i="53" a="1"/>
  <c r="C5" i="52" a="1"/>
  <c r="C34" i="60" a="1"/>
  <c r="E14" i="54" a="1"/>
  <c r="C38" i="52" a="1"/>
  <c r="C22" i="51" a="1"/>
  <c r="C9" i="59" a="1"/>
  <c r="E31" i="53" a="1"/>
  <c r="C24" i="51" a="1"/>
  <c r="B6" i="58" a="1"/>
  <c r="C41" i="57" a="1"/>
  <c r="C28" i="56" a="1"/>
  <c r="E22" i="55" a="1"/>
  <c r="B8" i="56" a="1"/>
  <c r="D19" i="61" a="1"/>
  <c r="E19" i="56" a="1"/>
  <c r="E22" i="53" a="1"/>
  <c r="C38" i="51" a="1"/>
  <c r="E4" i="51" a="1"/>
  <c r="B46" i="61" a="1"/>
  <c r="B45" i="51" a="1"/>
  <c r="B14" i="60" a="1"/>
  <c r="B32" i="53" a="1"/>
  <c r="C36" i="50" a="1"/>
  <c r="C10" i="55" a="1"/>
  <c r="B5" i="53" a="1"/>
  <c r="C26" i="54" a="1"/>
  <c r="C13" i="59" a="1"/>
  <c r="B29" i="57" a="1"/>
  <c r="B47" i="61" a="1"/>
  <c r="C42" i="50" a="1"/>
  <c r="B15" i="60" a="1"/>
  <c r="C19" i="59" a="1"/>
  <c r="C35" i="53" a="1"/>
  <c r="B45" i="55" a="1"/>
  <c r="C45" i="51" a="1"/>
  <c r="E25" i="55" a="1"/>
  <c r="C30" i="52" a="1"/>
  <c r="B38" i="52" a="1"/>
  <c r="B29" i="61" a="1"/>
  <c r="B50" i="59"/>
  <c r="C20" i="58" a="1"/>
  <c r="C35" i="58" a="1"/>
  <c r="B41" i="61"/>
  <c r="C40" i="54" a="1"/>
  <c r="B12" i="61" a="1"/>
  <c r="C18" i="60" a="1"/>
  <c r="B24" i="50" a="1"/>
  <c r="C32" i="60" a="1"/>
  <c r="B38" i="54" a="1"/>
  <c r="C13" i="52" a="1"/>
  <c r="C11" i="52" a="1"/>
  <c r="B47" i="53" a="1"/>
  <c r="F8" i="58" a="1"/>
  <c r="C16" i="54" a="1"/>
  <c r="B30" i="59" a="1"/>
  <c r="B2" i="59" a="1"/>
  <c r="C36" i="58" a="1"/>
  <c r="E6" i="61" a="1"/>
  <c r="C10" i="59" a="1"/>
  <c r="B22" i="52" a="1"/>
  <c r="D11" i="60" a="1"/>
  <c r="C37" i="55" a="1"/>
  <c r="F9" i="55" a="1"/>
  <c r="D33" i="53" a="1"/>
  <c r="E7" i="53" a="1"/>
  <c r="C18" i="53" a="1"/>
  <c r="D35" i="51" a="1"/>
  <c r="C41" i="60" a="1"/>
  <c r="C22" i="57" a="1"/>
  <c r="C13" i="60" a="1"/>
  <c r="B18" i="55" a="1"/>
  <c r="C13" i="51" a="1"/>
  <c r="C28" i="55" a="1"/>
  <c r="D25" i="53" a="1"/>
  <c r="C15" i="52" a="1"/>
  <c r="E7" i="58" a="1"/>
  <c r="B20" i="58" a="1"/>
  <c r="B9" i="55" a="1"/>
  <c r="B30" i="57" a="1"/>
  <c r="D12" i="51" a="1"/>
  <c r="C33" i="58" a="1"/>
  <c r="B40" i="57" a="1"/>
  <c r="B50" i="50"/>
  <c r="B21" i="59" a="1"/>
  <c r="D15" i="61" a="1"/>
  <c r="C32" i="57" a="1"/>
  <c r="B36" i="58" a="1"/>
  <c r="B20" i="60" a="1"/>
  <c r="B26" i="61" a="1"/>
  <c r="C5" i="59" a="1"/>
  <c r="B31" i="52" a="1"/>
  <c r="C9" i="53" a="1"/>
  <c r="B45" i="52" a="1"/>
  <c r="B44" i="53" a="1"/>
  <c r="B21" i="51" a="1"/>
  <c r="C8" i="53" a="1"/>
  <c r="D42" i="59" a="1"/>
  <c r="C36" i="57" a="1"/>
  <c r="C41" i="52" a="1"/>
  <c r="F11" i="55" a="1"/>
  <c r="B32" i="61" a="1"/>
  <c r="E26" i="60" a="1"/>
  <c r="C29" i="58" a="1"/>
  <c r="C44" i="58" a="1"/>
  <c r="B21" i="54" a="1"/>
  <c r="B35" i="54" a="1"/>
  <c r="C20" i="54" a="1"/>
  <c r="C12" i="53" a="1"/>
  <c r="E14" i="59" a="1"/>
  <c r="C26" i="52" a="1"/>
  <c r="B16" i="50" a="1"/>
  <c r="D10" i="52" a="1"/>
  <c r="B15" i="53" a="1"/>
  <c r="E4" i="50" a="1"/>
  <c r="B12" i="59" a="1"/>
  <c r="D15" i="60" a="1"/>
  <c r="E31" i="58" a="1"/>
  <c r="C9" i="57" a="1"/>
  <c r="B33" i="51" a="1"/>
  <c r="C5" i="57" a="1"/>
  <c r="B17" i="57" a="1"/>
  <c r="C37" i="57" a="1"/>
  <c r="E33" i="51" a="1"/>
  <c r="B19" i="61" a="1"/>
  <c r="C11" i="59" a="1"/>
  <c r="E5" i="61" a="1"/>
  <c r="C27" i="56" a="1"/>
  <c r="D15" i="51" a="1"/>
  <c r="C18" i="59" a="1"/>
  <c r="B46" i="52" a="1"/>
  <c r="B34" i="58" a="1"/>
  <c r="B17" i="54" a="1"/>
  <c r="B34" i="53" a="1"/>
  <c r="E28" i="59" a="1"/>
  <c r="B31" i="61" a="1"/>
  <c r="B33" i="52" a="1"/>
  <c r="B6" i="51" a="1"/>
  <c r="C39" i="56" a="1"/>
  <c r="C30" i="55" a="1"/>
  <c r="B21" i="50" a="1"/>
  <c r="B25" i="52" a="1"/>
  <c r="E6" i="56" a="1"/>
  <c r="B41" i="53"/>
  <c r="B37" i="53" a="1"/>
  <c r="B28" i="59" a="1"/>
  <c r="B43" i="61" a="1"/>
  <c r="C7" i="59" a="1"/>
  <c r="C34" i="58" a="1"/>
  <c r="B8" i="53" a="1"/>
  <c r="C47" i="61" a="1"/>
  <c r="B33" i="60" a="1"/>
  <c r="E9" i="59" a="1"/>
  <c r="C40" i="51" a="1"/>
  <c r="C42" i="56" a="1"/>
  <c r="C34" i="59" a="1"/>
  <c r="B34" i="51" a="1"/>
  <c r="C20" i="55" a="1"/>
  <c r="D16" i="53" a="1"/>
  <c r="F10" i="58" a="1"/>
  <c r="B45" i="50" a="1"/>
  <c r="B25" i="61" a="1"/>
  <c r="E21" i="50" a="1"/>
  <c r="C45" i="59" a="1"/>
  <c r="B30" i="51" a="1"/>
  <c r="B25" i="55" a="1"/>
  <c r="C30" i="56" a="1"/>
  <c r="B42" i="50" a="1"/>
  <c r="B30" i="50" a="1"/>
  <c r="B46" i="55" a="1"/>
  <c r="B32" i="50" a="1"/>
  <c r="B45" i="53" a="1"/>
  <c r="B38" i="50" a="1"/>
  <c r="E26" i="51" a="1"/>
  <c r="B28" i="53" a="1"/>
  <c r="B17" i="51" a="1"/>
  <c r="C18" i="50" a="1"/>
  <c r="E31" i="51" a="1"/>
  <c r="B13" i="59" a="1"/>
  <c r="B37" i="56" a="1"/>
  <c r="E21" i="53" a="1"/>
  <c r="E12" i="59" a="1"/>
  <c r="C42" i="55" a="1"/>
  <c r="C15" i="51" a="1"/>
  <c r="B9" i="54" a="1"/>
  <c r="C39" i="54" a="1"/>
  <c r="D23" i="53" a="1"/>
  <c r="B45" i="59" a="1"/>
  <c r="C18" i="61" a="1"/>
  <c r="E27" i="53" a="1"/>
  <c r="B18" i="61" a="1"/>
  <c r="C42" i="58" a="1"/>
  <c r="E5" i="58" a="1"/>
  <c r="B26" i="54" a="1"/>
  <c r="E29" i="57" a="1"/>
  <c r="C10" i="54" a="1"/>
  <c r="C39" i="53" a="1"/>
  <c r="C32" i="56" a="1"/>
  <c r="B34" i="54" a="1"/>
  <c r="B40" i="51" a="1"/>
  <c r="C5" i="51" a="1"/>
  <c r="B26" i="56" a="1"/>
  <c r="C19" i="53" a="1"/>
  <c r="C39" i="61" a="1"/>
  <c r="B46" i="59" a="1"/>
  <c r="B23" i="56" a="1"/>
  <c r="E21" i="57" a="1"/>
  <c r="B39" i="52" a="1"/>
  <c r="B5" i="56" a="1"/>
  <c r="C44" i="53" a="1"/>
  <c r="B9" i="52" a="1"/>
  <c r="C6" i="60" a="1"/>
  <c r="C11" i="54" a="1"/>
  <c r="D37" i="53" a="1"/>
  <c r="C40" i="60" a="1"/>
  <c r="B13" i="60" a="1"/>
  <c r="C30" i="51" a="1"/>
  <c r="C19" i="56" a="1"/>
  <c r="B31" i="60" a="1"/>
  <c r="D15" i="59" a="1"/>
  <c r="D36" i="59" a="1"/>
  <c r="C15" i="61" a="1"/>
  <c r="E5" i="55" a="1"/>
  <c r="B15" i="56" a="1"/>
  <c r="B33" i="61" a="1"/>
  <c r="E31" i="50" a="1"/>
  <c r="B13" i="50" a="1"/>
  <c r="B14" i="55" a="1"/>
  <c r="B39" i="50" a="1"/>
  <c r="C35" i="56" a="1"/>
  <c r="B24" i="51" a="1"/>
  <c r="C47" i="51" a="1"/>
  <c r="F12" i="61" a="1"/>
  <c r="B16" i="58" a="1"/>
  <c r="B22" i="61" a="1"/>
  <c r="B34" i="52" a="1"/>
  <c r="C6" i="58" a="1"/>
  <c r="C29" i="52" a="1"/>
  <c r="B42" i="52" a="1"/>
  <c r="D39" i="55" a="1"/>
  <c r="D12" i="59" a="1"/>
  <c r="B25" i="50" a="1"/>
  <c r="C23" i="52" a="1"/>
  <c r="C44" i="56" a="1"/>
  <c r="B32" i="54" a="1"/>
  <c r="B12" i="53" a="1"/>
  <c r="B8" i="51" a="1"/>
  <c r="C8" i="52" a="1"/>
  <c r="C23" i="60" a="1"/>
  <c r="C38" i="61" a="1"/>
  <c r="B14" i="61" a="1"/>
  <c r="C17" i="57" a="1"/>
  <c r="B31" i="50" a="1"/>
  <c r="B9" i="59" a="1"/>
  <c r="B46" i="54" a="1"/>
  <c r="C32" i="50" a="1"/>
  <c r="B27" i="59" a="1"/>
  <c r="C40" i="56" a="1"/>
  <c r="C37" i="56" a="1"/>
  <c r="B50" i="54"/>
  <c r="D22" i="53" a="1"/>
  <c r="B19" i="51" a="1"/>
  <c r="B22" i="50" a="1"/>
  <c r="B36" i="50" a="1"/>
  <c r="B45" i="58" a="1"/>
  <c r="D15" i="55" a="1"/>
  <c r="B21" i="55" a="1"/>
  <c r="C32" i="54" a="1"/>
  <c r="C46" i="50" a="1"/>
  <c r="B17" i="60" a="1"/>
  <c r="B7" i="50" a="1"/>
  <c r="C9" i="60" a="1"/>
  <c r="E33" i="53" a="1"/>
  <c r="C16" i="52" a="1"/>
  <c r="C40" i="57" a="1"/>
  <c r="C11" i="53" a="1"/>
  <c r="E32" i="60" a="1"/>
  <c r="B25" i="54" a="1"/>
  <c r="B50" i="51"/>
  <c r="D5" i="58" a="1"/>
  <c r="C46" i="58" a="1"/>
  <c r="C25" i="58" a="1"/>
  <c r="B38" i="59" a="1"/>
  <c r="C18" i="55" a="1"/>
  <c r="C7" i="56" a="1"/>
  <c r="C44" i="57" a="1"/>
  <c r="C9" i="56" a="1"/>
  <c r="B6" i="60" a="1"/>
  <c r="C28" i="52" a="1"/>
  <c r="E10" i="53" a="1"/>
  <c r="C33" i="52" a="1"/>
  <c r="B6" i="56" a="1"/>
  <c r="C36" i="54" a="1"/>
  <c r="C26" i="60" a="1"/>
  <c r="B47" i="57" a="1"/>
  <c r="B38" i="57" a="1"/>
  <c r="B18" i="50" a="1"/>
  <c r="B20" i="56" a="1"/>
  <c r="C12" i="60" a="1"/>
  <c r="C29" i="53" a="1"/>
  <c r="E14" i="50" a="1"/>
  <c r="C38" i="58" a="1"/>
  <c r="B22" i="59" a="1"/>
  <c r="C15" i="54" a="1"/>
  <c r="B36" i="61" a="1"/>
  <c r="B31" i="57" a="1"/>
  <c r="B27" i="55" a="1"/>
  <c r="C23" i="54" a="1"/>
  <c r="E9" i="53" a="1"/>
  <c r="D6" i="59" a="1"/>
  <c r="B20" i="61" a="1"/>
  <c r="C41" i="61" a="1"/>
  <c r="D36" i="57" a="1"/>
  <c r="C12" i="61" a="1"/>
  <c r="D17" i="55" a="1"/>
  <c r="B21" i="57" a="1"/>
  <c r="C47" i="58" a="1"/>
  <c r="B50" i="53"/>
  <c r="B23" i="51" a="1"/>
  <c r="E14" i="55" a="1"/>
  <c r="B9" i="60" a="1"/>
  <c r="B46" i="58" a="1"/>
  <c r="B39" i="57" a="1"/>
  <c r="B18" i="58" a="1"/>
  <c r="C19" i="54" a="1"/>
  <c r="B5" i="61" a="1"/>
  <c r="C24" i="52" a="1"/>
  <c r="B6" i="61" a="1"/>
  <c r="B37" i="52" a="1"/>
  <c r="E31" i="56" a="1"/>
  <c r="E21" i="54" a="1"/>
  <c r="E38" i="57" a="1"/>
  <c r="F7" i="51" a="1"/>
  <c r="B14" i="52" a="1"/>
  <c r="C17" i="59" a="1"/>
  <c r="B7" i="60" a="1"/>
  <c r="E37" i="51" a="1"/>
  <c r="B28" i="52" a="1"/>
  <c r="B41" i="56"/>
  <c r="E28" i="53" a="1"/>
  <c r="B32" i="52" a="1"/>
  <c r="B14" i="59" a="1"/>
  <c r="C18" i="58" a="1"/>
  <c r="C25" i="53" a="1"/>
  <c r="C35" i="59" a="1"/>
  <c r="B50" i="40"/>
  <c r="B36" i="54" a="1"/>
  <c r="C19" i="52" a="1"/>
  <c r="C12" i="56" a="1"/>
  <c r="D6" i="58" a="1"/>
  <c r="C26" i="56" a="1"/>
  <c r="C43" i="50" a="1"/>
  <c r="D5" i="59" a="1"/>
  <c r="D16" i="59" a="1"/>
  <c r="C16" i="53" a="1"/>
  <c r="C10" i="53" a="1"/>
  <c r="C24" i="53" a="1"/>
  <c r="C32" i="61" a="1"/>
  <c r="C12" i="51" a="1"/>
  <c r="C17" i="53" a="1"/>
  <c r="B46" i="50" a="1"/>
  <c r="B35" i="59" a="1"/>
  <c r="B24" i="59" a="1"/>
  <c r="B8" i="52" a="1"/>
  <c r="C13" i="50" a="1"/>
  <c r="B25" i="56" a="1"/>
  <c r="C6" i="50" a="1"/>
  <c r="B14" i="58" a="1"/>
  <c r="B36" i="60" a="1"/>
  <c r="B28" i="50" a="1"/>
  <c r="C43" i="53" a="1"/>
  <c r="B30" i="60" a="1"/>
  <c r="C44" i="60" a="1"/>
  <c r="C5" i="53" a="1"/>
  <c r="C43" i="58" a="1"/>
  <c r="C9" i="52" a="1"/>
  <c r="C16" i="56" a="1"/>
  <c r="C5" i="58" a="1"/>
  <c r="B37" i="59" a="1"/>
  <c r="B32" i="51" a="1"/>
  <c r="E32" i="57" a="1"/>
  <c r="F11" i="50" a="1"/>
  <c r="C10" i="60" a="1"/>
  <c r="C27" i="52" a="1"/>
  <c r="B23" i="57" a="1"/>
  <c r="C34" i="56" a="1"/>
  <c r="B46" i="57" a="1"/>
  <c r="B24" i="52" a="1"/>
  <c r="C45" i="50" a="1"/>
  <c r="B31" i="59" a="1"/>
  <c r="C33" i="54" a="1"/>
  <c r="B26" i="52" a="1"/>
  <c r="B29" i="50" a="1"/>
  <c r="B37" i="55" a="1"/>
  <c r="C34" i="61" a="1"/>
  <c r="B8" i="54" a="1"/>
  <c r="B26" i="60" a="1"/>
  <c r="C16" i="57" a="1"/>
  <c r="C28" i="60" a="1"/>
  <c r="B24" i="53" a="1"/>
  <c r="C28" i="50" a="1"/>
  <c r="C20" i="61" a="1"/>
  <c r="C36" i="56" a="1"/>
  <c r="B9" i="51" a="1"/>
  <c r="B41" i="55"/>
  <c r="B26" i="51" a="1"/>
  <c r="C11" i="50" a="1"/>
  <c r="C5" i="54" a="1"/>
  <c r="B31" i="54" a="1"/>
  <c r="E38" i="58" a="1"/>
  <c r="B20" i="54" a="1"/>
  <c r="B6" i="52" a="1"/>
  <c r="C5" i="55" a="1"/>
  <c r="B40" i="55" a="1"/>
  <c r="F9" i="58" a="1"/>
  <c r="C34" i="51" a="1"/>
  <c r="C8" i="59" a="1"/>
  <c r="B27" i="56" a="1"/>
  <c r="D8" i="51" a="1"/>
  <c r="C16" i="51" a="1"/>
  <c r="C13" i="55" a="1"/>
  <c r="C41" i="51" a="1"/>
  <c r="C22" i="54" a="1"/>
  <c r="C24" i="58" a="1"/>
  <c r="B26" i="57" a="1"/>
  <c r="C9" i="50" a="1"/>
  <c r="C35" i="50" a="1"/>
  <c r="F11" i="58" a="1"/>
  <c r="B36" i="56" a="1"/>
  <c r="C39" i="57" a="1"/>
  <c r="E8" i="59" a="1"/>
  <c r="C26" i="53" a="1"/>
  <c r="B29" i="54" a="1"/>
  <c r="C7" i="53" a="1"/>
  <c r="C20" i="51" a="1"/>
  <c r="E12" i="51" a="1"/>
  <c r="B28" i="58" a="1"/>
  <c r="C47" i="53" a="1"/>
  <c r="F12" i="52" a="1"/>
  <c r="B12" i="50" a="1"/>
  <c r="C27" i="50" a="1"/>
  <c r="C45" i="52" a="1"/>
  <c r="E6" i="55" a="1"/>
  <c r="C22" i="56" a="1"/>
  <c r="F8" i="55" a="1"/>
  <c r="B41" i="40"/>
  <c r="C17" i="55" a="1"/>
  <c r="C25" i="55" a="1"/>
  <c r="F12" i="51" a="1"/>
  <c r="C8" i="54" a="1"/>
  <c r="B5" i="58" a="1"/>
  <c r="C20" i="59" a="1"/>
  <c r="C47" i="57" l="1"/>
  <c r="D27" i="56"/>
  <c r="C30" i="51"/>
  <c r="B37" i="50"/>
  <c r="E14" i="59"/>
  <c r="B17" i="59"/>
  <c r="C43" i="52"/>
  <c r="B19" i="53"/>
  <c r="D22" i="56"/>
  <c r="B26" i="54"/>
  <c r="D23" i="53"/>
  <c r="E18" i="59"/>
  <c r="E4" i="58"/>
  <c r="C13" i="50"/>
  <c r="B29" i="57"/>
  <c r="C5" i="54"/>
  <c r="B27" i="50"/>
  <c r="C45" i="59"/>
  <c r="B45" i="51"/>
  <c r="C40" i="60"/>
  <c r="E43" i="59"/>
  <c r="C19" i="50"/>
  <c r="C28" i="60"/>
  <c r="B30" i="53"/>
  <c r="B42" i="60"/>
  <c r="C5" i="59"/>
  <c r="E39" i="51"/>
  <c r="C39" i="61"/>
  <c r="E40" i="55"/>
  <c r="F7" i="60"/>
  <c r="B13" i="55"/>
  <c r="C30" i="52"/>
  <c r="E8" i="59"/>
  <c r="B37" i="60"/>
  <c r="C16" i="52"/>
  <c r="E26" i="55"/>
  <c r="B14" i="59"/>
  <c r="E5" i="61"/>
  <c r="C44" i="54"/>
  <c r="B24" i="53"/>
  <c r="E33" i="51"/>
  <c r="C6" i="51"/>
  <c r="C8" i="53"/>
  <c r="C5" i="55"/>
  <c r="C36" i="57"/>
  <c r="B47" i="61"/>
  <c r="C9" i="51"/>
  <c r="B28" i="50"/>
  <c r="B28" i="53"/>
  <c r="B25" i="56"/>
  <c r="B20" i="60"/>
  <c r="C5" i="50"/>
  <c r="B32" i="53"/>
  <c r="C17" i="57"/>
  <c r="B34" i="52"/>
  <c r="E21" i="56"/>
  <c r="B43" i="53"/>
  <c r="B25" i="58"/>
  <c r="C18" i="61"/>
  <c r="C29" i="60"/>
  <c r="B7" i="50"/>
  <c r="F11" i="61"/>
  <c r="C19" i="55"/>
  <c r="B37" i="52"/>
  <c r="B35" i="51"/>
  <c r="B21" i="54"/>
  <c r="C42" i="50"/>
  <c r="C34" i="52"/>
  <c r="B26" i="60"/>
  <c r="B32" i="50"/>
  <c r="C34" i="56"/>
  <c r="E19" i="53"/>
  <c r="C16" i="60"/>
  <c r="C20" i="58"/>
  <c r="C5" i="51"/>
  <c r="C16" i="54"/>
  <c r="C12" i="50"/>
  <c r="C37" i="51"/>
  <c r="B28" i="56"/>
  <c r="B34" i="58"/>
  <c r="B14" i="58"/>
  <c r="B29" i="61"/>
  <c r="E5" i="58"/>
  <c r="E7" i="58"/>
  <c r="B11" i="58" s="1"/>
  <c r="B38" i="54"/>
  <c r="C12" i="60"/>
  <c r="B17" i="50"/>
  <c r="B47" i="51"/>
  <c r="C46" i="50"/>
  <c r="C24" i="53"/>
  <c r="C36" i="52"/>
  <c r="B22" i="51"/>
  <c r="B6" i="61"/>
  <c r="C20" i="50"/>
  <c r="C27" i="52"/>
  <c r="B19" i="61"/>
  <c r="D22" i="53"/>
  <c r="B18" i="54"/>
  <c r="C41" i="56"/>
  <c r="B17" i="57"/>
  <c r="D10" i="52"/>
  <c r="C40" i="54"/>
  <c r="B23" i="56"/>
  <c r="E21" i="58"/>
  <c r="C6" i="50"/>
  <c r="B12" i="52"/>
  <c r="B7" i="51"/>
  <c r="C23" i="56"/>
  <c r="D5" i="58"/>
  <c r="C33" i="50"/>
  <c r="B29" i="50"/>
  <c r="E21" i="53"/>
  <c r="C29" i="57"/>
  <c r="C38" i="51"/>
  <c r="B24" i="59"/>
  <c r="B9" i="54"/>
  <c r="C34" i="59"/>
  <c r="B29" i="53"/>
  <c r="C32" i="60"/>
  <c r="B16" i="57"/>
  <c r="C39" i="53"/>
  <c r="D25" i="56"/>
  <c r="E14" i="56"/>
  <c r="C36" i="59"/>
  <c r="C6" i="55"/>
  <c r="C47" i="51"/>
  <c r="B33" i="51"/>
  <c r="E14" i="51"/>
  <c r="B39" i="52"/>
  <c r="B45" i="59"/>
  <c r="B5" i="56"/>
  <c r="C26" i="52"/>
  <c r="B42" i="50"/>
  <c r="C12" i="56"/>
  <c r="C30" i="56"/>
  <c r="B46" i="58"/>
  <c r="B9" i="57"/>
  <c r="C24" i="56"/>
  <c r="B39" i="55"/>
  <c r="C41" i="54"/>
  <c r="B34" i="50"/>
  <c r="B6" i="58"/>
  <c r="B9" i="60"/>
  <c r="B16" i="61"/>
  <c r="B45" i="55"/>
  <c r="E4" i="50"/>
  <c r="C40" i="55"/>
  <c r="E14" i="55"/>
  <c r="C6" i="56"/>
  <c r="E7" i="61"/>
  <c r="B11" i="61" s="1"/>
  <c r="B46" i="61"/>
  <c r="B38" i="50"/>
  <c r="C9" i="50"/>
  <c r="C20" i="51"/>
  <c r="B27" i="52"/>
  <c r="C44" i="53"/>
  <c r="B47" i="57"/>
  <c r="B39" i="59"/>
  <c r="C7" i="50"/>
  <c r="B35" i="52"/>
  <c r="B32" i="51"/>
  <c r="C16" i="53"/>
  <c r="E26" i="60"/>
  <c r="E31" i="51"/>
  <c r="C17" i="51"/>
  <c r="E22" i="53"/>
  <c r="C35" i="58"/>
  <c r="B19" i="52"/>
  <c r="B2" i="59"/>
  <c r="B5" i="53"/>
  <c r="B46" i="60"/>
  <c r="B14" i="54"/>
  <c r="C47" i="52"/>
  <c r="C8" i="50"/>
  <c r="B30" i="59"/>
  <c r="B5" i="50"/>
  <c r="C42" i="54"/>
  <c r="C25" i="53"/>
  <c r="B42" i="54"/>
  <c r="C22" i="60"/>
  <c r="E17" i="59"/>
  <c r="B46" i="50"/>
  <c r="B35" i="59"/>
  <c r="B35" i="55"/>
  <c r="B6" i="52"/>
  <c r="B26" i="52"/>
  <c r="E18" i="53"/>
  <c r="C17" i="54"/>
  <c r="C44" i="58"/>
  <c r="C12" i="51"/>
  <c r="B36" i="50"/>
  <c r="B34" i="60"/>
  <c r="B21" i="55"/>
  <c r="B12" i="51"/>
  <c r="C34" i="61"/>
  <c r="C36" i="61"/>
  <c r="E26" i="51"/>
  <c r="B17" i="60"/>
  <c r="B34" i="59"/>
  <c r="E25" i="55"/>
  <c r="B20" i="61"/>
  <c r="B5" i="61"/>
  <c r="B23" i="52"/>
  <c r="B35" i="58"/>
  <c r="B19" i="51"/>
  <c r="B19" i="58"/>
  <c r="B22" i="56"/>
  <c r="C41" i="50"/>
  <c r="D26" i="59"/>
  <c r="C13" i="54"/>
  <c r="B23" i="58"/>
  <c r="D15" i="51"/>
  <c r="F7" i="55"/>
  <c r="D42" i="59"/>
  <c r="D37" i="53"/>
  <c r="C8" i="59"/>
  <c r="C37" i="56"/>
  <c r="B26" i="58"/>
  <c r="B43" i="54"/>
  <c r="C11" i="50"/>
  <c r="B30" i="50"/>
  <c r="B30" i="51"/>
  <c r="B13" i="59"/>
  <c r="F12" i="52"/>
  <c r="C34" i="50"/>
  <c r="D6" i="58"/>
  <c r="B47" i="50"/>
  <c r="C16" i="59"/>
  <c r="C33" i="52"/>
  <c r="C44" i="60"/>
  <c r="F9" i="57"/>
  <c r="B9" i="50"/>
  <c r="B13" i="60"/>
  <c r="B12" i="60"/>
  <c r="C39" i="56"/>
  <c r="C28" i="51"/>
  <c r="C24" i="52"/>
  <c r="C11" i="53"/>
  <c r="B29" i="54"/>
  <c r="B22" i="55"/>
  <c r="B34" i="56"/>
  <c r="B15" i="53"/>
  <c r="B36" i="51"/>
  <c r="E25" i="53"/>
  <c r="B36" i="54"/>
  <c r="C9" i="55"/>
  <c r="B38" i="52"/>
  <c r="B37" i="53"/>
  <c r="B21" i="51"/>
  <c r="B29" i="51"/>
  <c r="C32" i="50"/>
  <c r="C40" i="61"/>
  <c r="C11" i="59"/>
  <c r="B22" i="53"/>
  <c r="B7" i="56"/>
  <c r="B33" i="53"/>
  <c r="E28" i="53"/>
  <c r="C12" i="52"/>
  <c r="B25" i="60"/>
  <c r="B12" i="57"/>
  <c r="B13" i="51"/>
  <c r="C35" i="56"/>
  <c r="C40" i="53"/>
  <c r="C22" i="50"/>
  <c r="B44" i="52"/>
  <c r="E37" i="53"/>
  <c r="D12" i="51"/>
  <c r="E14" i="52"/>
  <c r="C38" i="56"/>
  <c r="C30" i="55"/>
  <c r="F11" i="50"/>
  <c r="C42" i="52"/>
  <c r="F11" i="58"/>
  <c r="B40" i="57"/>
  <c r="B39" i="50"/>
  <c r="B45" i="52"/>
  <c r="E39" i="53"/>
  <c r="B46" i="55"/>
  <c r="C27" i="50"/>
  <c r="C40" i="50"/>
  <c r="E40" i="53"/>
  <c r="B20" i="58"/>
  <c r="B31" i="50"/>
  <c r="B22" i="50"/>
  <c r="F10" i="51"/>
  <c r="E17" i="53"/>
  <c r="E17" i="56"/>
  <c r="E14" i="60"/>
  <c r="E22" i="51"/>
  <c r="C23" i="51"/>
  <c r="E5" i="55"/>
  <c r="E31" i="50"/>
  <c r="C28" i="50"/>
  <c r="B42" i="58"/>
  <c r="C35" i="50"/>
  <c r="D26" i="53"/>
  <c r="D16" i="55"/>
  <c r="B19" i="57"/>
  <c r="B12" i="59"/>
  <c r="C18" i="50"/>
  <c r="E28" i="59"/>
  <c r="C39" i="50"/>
  <c r="E7" i="51"/>
  <c r="B11" i="51" s="1"/>
  <c r="B25" i="52"/>
  <c r="C10" i="53"/>
  <c r="E6" i="57"/>
  <c r="B36" i="58"/>
  <c r="C24" i="51"/>
  <c r="E21" i="51"/>
  <c r="C43" i="53"/>
  <c r="E32" i="57"/>
  <c r="B29" i="59"/>
  <c r="C9" i="52"/>
  <c r="E37" i="51"/>
  <c r="B16" i="50"/>
  <c r="B37" i="51"/>
  <c r="E9" i="53"/>
  <c r="C17" i="55"/>
  <c r="B22" i="58"/>
  <c r="B24" i="60"/>
  <c r="C39" i="51"/>
  <c r="B21" i="50"/>
  <c r="C25" i="52"/>
  <c r="C41" i="55"/>
  <c r="B34" i="61"/>
  <c r="B20" i="52"/>
  <c r="C41" i="51"/>
  <c r="B33" i="54"/>
  <c r="C44" i="61"/>
  <c r="B26" i="53"/>
  <c r="C5" i="61"/>
  <c r="C19" i="54"/>
  <c r="C46" i="59"/>
  <c r="C7" i="55"/>
  <c r="B14" i="52"/>
  <c r="D17" i="51"/>
  <c r="B15" i="50"/>
  <c r="C24" i="50"/>
  <c r="E12" i="51"/>
  <c r="B17" i="52"/>
  <c r="B9" i="53"/>
  <c r="B19" i="56"/>
  <c r="C39" i="57"/>
  <c r="C15" i="61"/>
  <c r="E7" i="50"/>
  <c r="B11" i="50" s="1"/>
  <c r="C22" i="51"/>
  <c r="C15" i="53"/>
  <c r="B15" i="55"/>
  <c r="D15" i="60"/>
  <c r="B28" i="60"/>
  <c r="C35" i="52"/>
  <c r="C28" i="55"/>
  <c r="B28" i="54"/>
  <c r="C30" i="57"/>
  <c r="D35" i="53"/>
  <c r="E32" i="55"/>
  <c r="C25" i="55"/>
  <c r="C9" i="56"/>
  <c r="B47" i="55"/>
  <c r="F8" i="58"/>
  <c r="F9" i="59"/>
  <c r="B38" i="58"/>
  <c r="B45" i="60"/>
  <c r="E21" i="61"/>
  <c r="E16" i="53"/>
  <c r="E4" i="53"/>
  <c r="E21" i="54"/>
  <c r="C34" i="55"/>
  <c r="B31" i="57"/>
  <c r="C23" i="58"/>
  <c r="C7" i="57"/>
  <c r="B37" i="59"/>
  <c r="C12" i="61"/>
  <c r="B6" i="51"/>
  <c r="C29" i="50"/>
  <c r="B17" i="51"/>
  <c r="C13" i="51"/>
  <c r="C38" i="52"/>
  <c r="D34" i="55"/>
  <c r="C26" i="54"/>
  <c r="E4" i="56"/>
  <c r="E18" i="56"/>
  <c r="F8" i="55"/>
  <c r="B27" i="57"/>
  <c r="C11" i="60"/>
  <c r="C35" i="59"/>
  <c r="B36" i="61"/>
  <c r="B38" i="61"/>
  <c r="B31" i="51"/>
  <c r="C33" i="54"/>
  <c r="C23" i="50"/>
  <c r="B33" i="52"/>
  <c r="F11" i="51"/>
  <c r="C34" i="51"/>
  <c r="B18" i="55"/>
  <c r="E39" i="55"/>
  <c r="C25" i="54"/>
  <c r="B6" i="55"/>
  <c r="C28" i="56"/>
  <c r="E27" i="57"/>
  <c r="C33" i="57"/>
  <c r="B44" i="59"/>
  <c r="C43" i="59"/>
  <c r="B40" i="51"/>
  <c r="C36" i="50"/>
  <c r="B20" i="50"/>
  <c r="B5" i="51"/>
  <c r="B34" i="51"/>
  <c r="B43" i="52"/>
  <c r="D35" i="55"/>
  <c r="C13" i="53"/>
  <c r="C10" i="55"/>
  <c r="D7" i="55"/>
  <c r="B18" i="56"/>
  <c r="E31" i="57"/>
  <c r="D38" i="60"/>
  <c r="B33" i="59"/>
  <c r="B37" i="61"/>
  <c r="C38" i="60"/>
  <c r="B9" i="56"/>
  <c r="C8" i="57"/>
  <c r="C26" i="58"/>
  <c r="D37" i="59"/>
  <c r="B13" i="57"/>
  <c r="B39" i="58"/>
  <c r="B27" i="59"/>
  <c r="C27" i="61"/>
  <c r="B8" i="61"/>
  <c r="B24" i="52"/>
  <c r="B18" i="53"/>
  <c r="C7" i="53"/>
  <c r="E38" i="53"/>
  <c r="B13" i="56"/>
  <c r="F12" i="55"/>
  <c r="C12" i="55"/>
  <c r="E12" i="59"/>
  <c r="E29" i="59"/>
  <c r="D27" i="59"/>
  <c r="B18" i="58"/>
  <c r="B8" i="59"/>
  <c r="B5" i="60"/>
  <c r="B40" i="60"/>
  <c r="B26" i="61"/>
  <c r="E31" i="53"/>
  <c r="B34" i="53"/>
  <c r="C20" i="53"/>
  <c r="D12" i="55"/>
  <c r="C43" i="54"/>
  <c r="C45" i="55"/>
  <c r="C5" i="56"/>
  <c r="C29" i="58"/>
  <c r="C13" i="57"/>
  <c r="C46" i="57"/>
  <c r="C43" i="58"/>
  <c r="E38" i="59"/>
  <c r="C41" i="60"/>
  <c r="C13" i="59"/>
  <c r="C35" i="61"/>
  <c r="F7" i="51"/>
  <c r="C33" i="51"/>
  <c r="C23" i="54"/>
  <c r="B24" i="55"/>
  <c r="B17" i="54"/>
  <c r="B47" i="54"/>
  <c r="C27" i="56"/>
  <c r="B46" i="57"/>
  <c r="C42" i="58"/>
  <c r="C32" i="57"/>
  <c r="C40" i="59"/>
  <c r="C9" i="59"/>
  <c r="B40" i="52"/>
  <c r="C38" i="53"/>
  <c r="D35" i="51"/>
  <c r="B26" i="51"/>
  <c r="C6" i="52"/>
  <c r="B7" i="55"/>
  <c r="B12" i="54"/>
  <c r="B27" i="55"/>
  <c r="B36" i="55"/>
  <c r="B39" i="56"/>
  <c r="D16" i="57"/>
  <c r="C43" i="57"/>
  <c r="B44" i="58"/>
  <c r="C40" i="58"/>
  <c r="B35" i="61"/>
  <c r="C11" i="51"/>
  <c r="B14" i="50"/>
  <c r="B45" i="50"/>
  <c r="C26" i="51"/>
  <c r="C15" i="51"/>
  <c r="B44" i="51"/>
  <c r="E12" i="53"/>
  <c r="B15" i="54"/>
  <c r="C34" i="54"/>
  <c r="B29" i="55"/>
  <c r="B46" i="56"/>
  <c r="F10" i="58"/>
  <c r="B39" i="57"/>
  <c r="B33" i="58"/>
  <c r="C38" i="59"/>
  <c r="C13" i="61"/>
  <c r="B43" i="55"/>
  <c r="B6" i="57"/>
  <c r="E16" i="59"/>
  <c r="C27" i="57"/>
  <c r="C37" i="57"/>
  <c r="C30" i="59"/>
  <c r="B19" i="60"/>
  <c r="E31" i="60"/>
  <c r="B17" i="61"/>
  <c r="C12" i="53"/>
  <c r="C46" i="55"/>
  <c r="E11" i="53"/>
  <c r="C32" i="54"/>
  <c r="E14" i="54"/>
  <c r="C26" i="55"/>
  <c r="C36" i="55"/>
  <c r="B25" i="57"/>
  <c r="C26" i="57"/>
  <c r="C10" i="57"/>
  <c r="B13" i="58"/>
  <c r="D16" i="59"/>
  <c r="B38" i="59"/>
  <c r="C45" i="61"/>
  <c r="E14" i="61"/>
  <c r="C7" i="52"/>
  <c r="D33" i="53"/>
  <c r="C36" i="53"/>
  <c r="C17" i="53"/>
  <c r="E35" i="55"/>
  <c r="C43" i="56"/>
  <c r="C15" i="54"/>
  <c r="C13" i="56"/>
  <c r="C23" i="57"/>
  <c r="C15" i="58"/>
  <c r="C25" i="58"/>
  <c r="D38" i="59"/>
  <c r="C11" i="61"/>
  <c r="C39" i="58"/>
  <c r="C13" i="60"/>
  <c r="C34" i="60"/>
  <c r="D25" i="59"/>
  <c r="B28" i="61"/>
  <c r="E32" i="53"/>
  <c r="F9" i="55"/>
  <c r="C45" i="54"/>
  <c r="B30" i="54"/>
  <c r="C16" i="57"/>
  <c r="D36" i="59"/>
  <c r="B22" i="59"/>
  <c r="C24" i="61"/>
  <c r="D15" i="61"/>
  <c r="B30" i="61"/>
  <c r="C33" i="53"/>
  <c r="B7" i="54"/>
  <c r="B19" i="55"/>
  <c r="B43" i="56"/>
  <c r="C22" i="57"/>
  <c r="B33" i="57"/>
  <c r="B43" i="60"/>
  <c r="B21" i="59"/>
  <c r="C6" i="60"/>
  <c r="C37" i="52"/>
  <c r="B40" i="50"/>
  <c r="D33" i="51"/>
  <c r="C45" i="52"/>
  <c r="C5" i="52"/>
  <c r="C38" i="54"/>
  <c r="B6" i="54"/>
  <c r="C24" i="55"/>
  <c r="B32" i="55"/>
  <c r="B38" i="56"/>
  <c r="B14" i="57"/>
  <c r="C42" i="57"/>
  <c r="B8" i="58"/>
  <c r="C38" i="58"/>
  <c r="C30" i="61"/>
  <c r="B23" i="51"/>
  <c r="E6" i="50"/>
  <c r="C10" i="50"/>
  <c r="B5" i="52"/>
  <c r="B15" i="51"/>
  <c r="B15" i="52"/>
  <c r="C35" i="53"/>
  <c r="B38" i="53"/>
  <c r="E6" i="53"/>
  <c r="B5" i="55"/>
  <c r="C38" i="55"/>
  <c r="B28" i="57"/>
  <c r="C28" i="58"/>
  <c r="C13" i="58"/>
  <c r="B43" i="59"/>
  <c r="C32" i="61"/>
  <c r="C18" i="51"/>
  <c r="B33" i="50"/>
  <c r="C17" i="50"/>
  <c r="B36" i="52"/>
  <c r="C22" i="52"/>
  <c r="B22" i="52"/>
  <c r="B13" i="53"/>
  <c r="D24" i="56"/>
  <c r="D39" i="55"/>
  <c r="B47" i="53"/>
  <c r="C20" i="56"/>
  <c r="C19" i="58"/>
  <c r="E27" i="59"/>
  <c r="C20" i="59"/>
  <c r="C46" i="58"/>
  <c r="B45" i="61"/>
  <c r="C17" i="56"/>
  <c r="B5" i="57"/>
  <c r="B14" i="60"/>
  <c r="B36" i="57"/>
  <c r="C27" i="58"/>
  <c r="C17" i="60"/>
  <c r="D19" i="61"/>
  <c r="C10" i="59"/>
  <c r="B42" i="61"/>
  <c r="C11" i="55"/>
  <c r="C18" i="53"/>
  <c r="C5" i="53"/>
  <c r="E21" i="55"/>
  <c r="E8" i="55"/>
  <c r="C45" i="56"/>
  <c r="B8" i="56"/>
  <c r="E29" i="57"/>
  <c r="B20" i="57"/>
  <c r="B12" i="58"/>
  <c r="D15" i="59"/>
  <c r="C10" i="60"/>
  <c r="D8" i="61"/>
  <c r="C26" i="59"/>
  <c r="C38" i="61"/>
  <c r="C13" i="52"/>
  <c r="D5" i="53"/>
  <c r="B40" i="53"/>
  <c r="F10" i="54"/>
  <c r="E7" i="53"/>
  <c r="B11" i="53" s="1"/>
  <c r="B14" i="55"/>
  <c r="B24" i="54"/>
  <c r="B31" i="56"/>
  <c r="B46" i="59"/>
  <c r="B24" i="58"/>
  <c r="E21" i="59"/>
  <c r="C23" i="61"/>
  <c r="B37" i="58"/>
  <c r="B16" i="59"/>
  <c r="B36" i="60"/>
  <c r="C6" i="61"/>
  <c r="B44" i="60"/>
  <c r="B35" i="50"/>
  <c r="C25" i="50"/>
  <c r="D16" i="52"/>
  <c r="B18" i="52"/>
  <c r="C35" i="54"/>
  <c r="B20" i="56"/>
  <c r="C40" i="57"/>
  <c r="B27" i="61"/>
  <c r="B33" i="55"/>
  <c r="E5" i="57"/>
  <c r="B21" i="60"/>
  <c r="B23" i="53"/>
  <c r="B40" i="54"/>
  <c r="C45" i="53"/>
  <c r="C7" i="54"/>
  <c r="C47" i="56"/>
  <c r="D38" i="57"/>
  <c r="C10" i="58"/>
  <c r="B40" i="61"/>
  <c r="C19" i="59"/>
  <c r="C9" i="61"/>
  <c r="B7" i="52"/>
  <c r="C36" i="56"/>
  <c r="B28" i="55"/>
  <c r="C32" i="56"/>
  <c r="C28" i="61"/>
  <c r="D6" i="59"/>
  <c r="E4" i="61"/>
  <c r="B31" i="61"/>
  <c r="E21" i="52"/>
  <c r="B8" i="50"/>
  <c r="C45" i="51"/>
  <c r="C46" i="52"/>
  <c r="B8" i="51"/>
  <c r="E24" i="53"/>
  <c r="D32" i="53"/>
  <c r="E5" i="53"/>
  <c r="B46" i="54"/>
  <c r="C37" i="55"/>
  <c r="C23" i="59"/>
  <c r="C24" i="58"/>
  <c r="B8" i="57"/>
  <c r="C39" i="59"/>
  <c r="B21" i="61"/>
  <c r="B32" i="52"/>
  <c r="C44" i="50"/>
  <c r="B19" i="50"/>
  <c r="C11" i="52"/>
  <c r="B27" i="51"/>
  <c r="B9" i="52"/>
  <c r="E8" i="54"/>
  <c r="B12" i="53"/>
  <c r="C37" i="54"/>
  <c r="B45" i="54"/>
  <c r="B15" i="56"/>
  <c r="B22" i="57"/>
  <c r="D11" i="60"/>
  <c r="B23" i="59"/>
  <c r="B32" i="61"/>
  <c r="C35" i="60"/>
  <c r="C41" i="52"/>
  <c r="E14" i="50"/>
  <c r="B26" i="50"/>
  <c r="C29" i="51"/>
  <c r="C32" i="52"/>
  <c r="B39" i="53"/>
  <c r="C6" i="53"/>
  <c r="C28" i="54"/>
  <c r="C24" i="54"/>
  <c r="B25" i="54"/>
  <c r="D39" i="57"/>
  <c r="C45" i="58"/>
  <c r="C33" i="58"/>
  <c r="C27" i="60"/>
  <c r="C26" i="60"/>
  <c r="B24" i="61"/>
  <c r="B26" i="56"/>
  <c r="E16" i="60"/>
  <c r="D8" i="58"/>
  <c r="B7" i="58"/>
  <c r="C30" i="60"/>
  <c r="B12" i="61"/>
  <c r="C12" i="59"/>
  <c r="C46" i="60"/>
  <c r="C16" i="61"/>
  <c r="D17" i="53"/>
  <c r="E27" i="53"/>
  <c r="C29" i="53"/>
  <c r="B12" i="56"/>
  <c r="C6" i="54"/>
  <c r="C18" i="54"/>
  <c r="B17" i="56"/>
  <c r="E38" i="57"/>
  <c r="C18" i="58"/>
  <c r="B43" i="58"/>
  <c r="D39" i="60"/>
  <c r="B32" i="58"/>
  <c r="B5" i="59"/>
  <c r="C19" i="60"/>
  <c r="C37" i="60"/>
  <c r="B31" i="52"/>
  <c r="D16" i="53"/>
  <c r="B13" i="54"/>
  <c r="C47" i="55"/>
  <c r="C22" i="54"/>
  <c r="B30" i="55"/>
  <c r="C46" i="54"/>
  <c r="B47" i="56"/>
  <c r="C25" i="57"/>
  <c r="F7" i="59"/>
  <c r="E6" i="61"/>
  <c r="C35" i="57"/>
  <c r="C22" i="59"/>
  <c r="B15" i="60"/>
  <c r="B27" i="60"/>
  <c r="B15" i="61"/>
  <c r="C26" i="53"/>
  <c r="D9" i="56"/>
  <c r="D36" i="57"/>
  <c r="B31" i="60"/>
  <c r="C37" i="53"/>
  <c r="E29" i="53"/>
  <c r="D15" i="55"/>
  <c r="B26" i="55"/>
  <c r="B36" i="56"/>
  <c r="E4" i="57"/>
  <c r="C23" i="60"/>
  <c r="C5" i="58"/>
  <c r="C36" i="58"/>
  <c r="C22" i="61"/>
  <c r="C8" i="51"/>
  <c r="B44" i="53"/>
  <c r="B6" i="53"/>
  <c r="C20" i="54"/>
  <c r="B29" i="56"/>
  <c r="D29" i="58"/>
  <c r="C41" i="57"/>
  <c r="C8" i="60"/>
  <c r="C37" i="59"/>
  <c r="C19" i="61"/>
  <c r="B19" i="54"/>
  <c r="B18" i="50"/>
  <c r="D8" i="52"/>
  <c r="C25" i="51"/>
  <c r="C8" i="52"/>
  <c r="E33" i="53"/>
  <c r="E10" i="53"/>
  <c r="C30" i="54"/>
  <c r="B44" i="54"/>
  <c r="B8" i="55"/>
  <c r="C15" i="57"/>
  <c r="C47" i="59"/>
  <c r="B19" i="59"/>
  <c r="B14" i="61"/>
  <c r="C33" i="60"/>
  <c r="B39" i="51"/>
  <c r="C43" i="50"/>
  <c r="B44" i="50"/>
  <c r="D10" i="51"/>
  <c r="F12" i="51"/>
  <c r="B43" i="51"/>
  <c r="C29" i="55"/>
  <c r="C47" i="53"/>
  <c r="C27" i="54"/>
  <c r="B25" i="55"/>
  <c r="B45" i="56"/>
  <c r="D7" i="58"/>
  <c r="B38" i="57"/>
  <c r="C27" i="59"/>
  <c r="B8" i="60"/>
  <c r="C40" i="51"/>
  <c r="C38" i="50"/>
  <c r="B14" i="51"/>
  <c r="B18" i="51"/>
  <c r="C40" i="52"/>
  <c r="B16" i="53"/>
  <c r="B17" i="53"/>
  <c r="E36" i="53"/>
  <c r="C10" i="56"/>
  <c r="C22" i="56"/>
  <c r="E35" i="57"/>
  <c r="C43" i="60"/>
  <c r="D12" i="60"/>
  <c r="C24" i="60"/>
  <c r="C40" i="56"/>
  <c r="C8" i="58"/>
  <c r="E38" i="58"/>
  <c r="C24" i="59"/>
  <c r="E31" i="59"/>
  <c r="B17" i="58"/>
  <c r="B6" i="59"/>
  <c r="B42" i="59"/>
  <c r="B39" i="60"/>
  <c r="B25" i="61"/>
  <c r="C23" i="53"/>
  <c r="B20" i="53"/>
  <c r="B32" i="54"/>
  <c r="C42" i="53"/>
  <c r="B20" i="55"/>
  <c r="B27" i="54"/>
  <c r="B42" i="56"/>
  <c r="F10" i="57"/>
  <c r="B28" i="58"/>
  <c r="E40" i="59"/>
  <c r="E14" i="57"/>
  <c r="B40" i="58"/>
  <c r="C28" i="59"/>
  <c r="B33" i="61"/>
  <c r="C5" i="60"/>
  <c r="B47" i="52"/>
  <c r="D8" i="54"/>
  <c r="C36" i="54"/>
  <c r="B42" i="53"/>
  <c r="C33" i="56"/>
  <c r="C44" i="56"/>
  <c r="C46" i="56"/>
  <c r="C15" i="56"/>
  <c r="E12" i="58"/>
  <c r="D43" i="59"/>
  <c r="B34" i="57"/>
  <c r="C7" i="58"/>
  <c r="C9" i="60"/>
  <c r="B32" i="60"/>
  <c r="C47" i="61"/>
  <c r="C8" i="61"/>
  <c r="D38" i="55"/>
  <c r="B46" i="52"/>
  <c r="B20" i="51"/>
  <c r="E31" i="55"/>
  <c r="F11" i="55"/>
  <c r="B40" i="59"/>
  <c r="B31" i="59"/>
  <c r="C44" i="52"/>
  <c r="C47" i="50"/>
  <c r="C46" i="51"/>
  <c r="B21" i="53"/>
  <c r="B6" i="56"/>
  <c r="B9" i="58"/>
  <c r="B29" i="60"/>
  <c r="C23" i="52"/>
  <c r="B8" i="53"/>
  <c r="C39" i="54"/>
  <c r="C19" i="57"/>
  <c r="B9" i="59"/>
  <c r="E4" i="55"/>
  <c r="E26" i="53"/>
  <c r="D16" i="56"/>
  <c r="B20" i="54"/>
  <c r="C32" i="55"/>
  <c r="E21" i="57"/>
  <c r="C22" i="58"/>
  <c r="C6" i="57"/>
  <c r="C18" i="59"/>
  <c r="B7" i="61"/>
  <c r="D18" i="56"/>
  <c r="C44" i="55"/>
  <c r="E6" i="55"/>
  <c r="E31" i="54"/>
  <c r="C20" i="57"/>
  <c r="E39" i="59"/>
  <c r="B32" i="59"/>
  <c r="C29" i="61"/>
  <c r="C46" i="61"/>
  <c r="B23" i="50"/>
  <c r="C28" i="53"/>
  <c r="B43" i="50"/>
  <c r="E6" i="51"/>
  <c r="C10" i="51"/>
  <c r="B42" i="51"/>
  <c r="B23" i="55"/>
  <c r="E34" i="53"/>
  <c r="B16" i="54"/>
  <c r="C22" i="55"/>
  <c r="B44" i="56"/>
  <c r="E39" i="58"/>
  <c r="B35" i="57"/>
  <c r="B26" i="59"/>
  <c r="C7" i="60"/>
  <c r="C32" i="51"/>
  <c r="C30" i="50"/>
  <c r="C16" i="50"/>
  <c r="C28" i="52"/>
  <c r="C10" i="52"/>
  <c r="C19" i="52"/>
  <c r="B36" i="53"/>
  <c r="E15" i="56"/>
  <c r="B34" i="55"/>
  <c r="B46" i="53"/>
  <c r="C19" i="56"/>
  <c r="C16" i="58"/>
  <c r="C15" i="59"/>
  <c r="B18" i="59"/>
  <c r="B45" i="58"/>
  <c r="B44" i="61"/>
  <c r="C17" i="52"/>
  <c r="C26" i="50"/>
  <c r="E4" i="51"/>
  <c r="C16" i="51"/>
  <c r="C35" i="51"/>
  <c r="B14" i="53"/>
  <c r="B14" i="56"/>
  <c r="B34" i="54"/>
  <c r="B16" i="55"/>
  <c r="C29" i="56"/>
  <c r="B43" i="57"/>
  <c r="D13" i="59"/>
  <c r="C34" i="57"/>
  <c r="B6" i="60"/>
  <c r="C44" i="59"/>
  <c r="C35" i="55"/>
  <c r="B23" i="57"/>
  <c r="C24" i="57"/>
  <c r="C9" i="57"/>
  <c r="C12" i="58"/>
  <c r="E9" i="59"/>
  <c r="C32" i="59"/>
  <c r="C10" i="61"/>
  <c r="B13" i="61"/>
  <c r="B42" i="52"/>
  <c r="B37" i="55"/>
  <c r="B38" i="55"/>
  <c r="E19" i="56"/>
  <c r="B39" i="54"/>
  <c r="B40" i="55"/>
  <c r="C11" i="56"/>
  <c r="B44" i="55"/>
  <c r="B15" i="57"/>
  <c r="B20" i="59"/>
  <c r="C28" i="57"/>
  <c r="C38" i="57"/>
  <c r="C33" i="59"/>
  <c r="C20" i="60"/>
  <c r="B33" i="60"/>
  <c r="B18" i="61"/>
  <c r="B46" i="51"/>
  <c r="D5" i="55"/>
  <c r="D12" i="53"/>
  <c r="B37" i="54"/>
  <c r="C13" i="55"/>
  <c r="B42" i="55"/>
  <c r="B32" i="56"/>
  <c r="B24" i="56"/>
  <c r="F9" i="58"/>
  <c r="E6" i="58"/>
  <c r="B5" i="58"/>
  <c r="E32" i="59"/>
  <c r="B35" i="60"/>
  <c r="C6" i="59"/>
  <c r="C42" i="60"/>
  <c r="D39" i="53"/>
  <c r="F7" i="54"/>
  <c r="B8" i="54"/>
  <c r="C25" i="56"/>
  <c r="B42" i="57"/>
  <c r="D26" i="58"/>
  <c r="B21" i="57"/>
  <c r="C29" i="59"/>
  <c r="C43" i="61"/>
  <c r="B38" i="51"/>
  <c r="B35" i="54"/>
  <c r="C15" i="50"/>
  <c r="C43" i="51"/>
  <c r="C44" i="51"/>
  <c r="C18" i="52"/>
  <c r="E23" i="53"/>
  <c r="D11" i="56"/>
  <c r="B31" i="55"/>
  <c r="B45" i="53"/>
  <c r="C16" i="56"/>
  <c r="D13" i="58"/>
  <c r="E11" i="59"/>
  <c r="B7" i="59"/>
  <c r="B31" i="58"/>
  <c r="B9" i="61"/>
  <c r="C7" i="51"/>
  <c r="B13" i="50"/>
  <c r="B25" i="50"/>
  <c r="C27" i="51"/>
  <c r="B21" i="52"/>
  <c r="E31" i="52"/>
  <c r="C34" i="53"/>
  <c r="C12" i="54"/>
  <c r="C8" i="54"/>
  <c r="B23" i="54"/>
  <c r="E31" i="56"/>
  <c r="C34" i="58"/>
  <c r="B21" i="58"/>
  <c r="C25" i="60"/>
  <c r="C15" i="60"/>
  <c r="B22" i="61"/>
  <c r="B35" i="53"/>
  <c r="B6" i="50"/>
  <c r="E7" i="52"/>
  <c r="B11" i="52" s="1"/>
  <c r="B28" i="51"/>
  <c r="B8" i="52"/>
  <c r="F7" i="56"/>
  <c r="B12" i="55"/>
  <c r="E29" i="55"/>
  <c r="C43" i="55"/>
  <c r="D18" i="57"/>
  <c r="C44" i="57"/>
  <c r="D12" i="59"/>
  <c r="C7" i="59"/>
  <c r="B38" i="60"/>
  <c r="C7" i="56"/>
  <c r="F11" i="57"/>
  <c r="B18" i="57"/>
  <c r="C11" i="58"/>
  <c r="D9" i="59"/>
  <c r="B7" i="60"/>
  <c r="B47" i="60"/>
  <c r="B25" i="59"/>
  <c r="C37" i="61"/>
  <c r="B9" i="51"/>
  <c r="C19" i="53"/>
  <c r="B17" i="55"/>
  <c r="C46" i="53"/>
  <c r="C9" i="54"/>
  <c r="B31" i="54"/>
  <c r="C26" i="56"/>
  <c r="C18" i="56"/>
  <c r="C11" i="57"/>
  <c r="C18" i="60"/>
  <c r="B37" i="57"/>
  <c r="B29" i="58"/>
  <c r="B22" i="60"/>
  <c r="C25" i="61"/>
  <c r="C42" i="59"/>
  <c r="B43" i="61"/>
  <c r="C20" i="52"/>
  <c r="C29" i="54"/>
  <c r="E35" i="53"/>
  <c r="E36" i="55"/>
  <c r="C47" i="54"/>
  <c r="B40" i="56"/>
  <c r="E36" i="57"/>
  <c r="B26" i="57"/>
  <c r="D5" i="59"/>
  <c r="C25" i="59"/>
  <c r="B15" i="58"/>
  <c r="C41" i="58"/>
  <c r="B36" i="59"/>
  <c r="B39" i="61"/>
  <c r="B23" i="61"/>
  <c r="B12" i="50"/>
  <c r="E5" i="50"/>
  <c r="D8" i="51"/>
  <c r="C36" i="51"/>
  <c r="E15" i="53"/>
  <c r="B33" i="56"/>
  <c r="D19" i="60"/>
  <c r="C39" i="60"/>
  <c r="D11" i="53"/>
  <c r="E21" i="50"/>
  <c r="C29" i="52"/>
  <c r="D28" i="53"/>
  <c r="C23" i="55"/>
  <c r="E10" i="59"/>
  <c r="C47" i="58"/>
  <c r="B24" i="51"/>
  <c r="C27" i="53"/>
  <c r="C16" i="55"/>
  <c r="C45" i="57"/>
  <c r="B30" i="60"/>
  <c r="C30" i="53"/>
  <c r="B31" i="53"/>
  <c r="C42" i="56"/>
  <c r="D17" i="55"/>
  <c r="C8" i="56"/>
  <c r="B24" i="57"/>
  <c r="B32" i="57"/>
  <c r="D36" i="60"/>
  <c r="C17" i="59"/>
  <c r="C7" i="61"/>
  <c r="C22" i="53"/>
  <c r="C18" i="55"/>
  <c r="C27" i="55"/>
  <c r="B37" i="56"/>
  <c r="C12" i="57"/>
  <c r="D16" i="61"/>
  <c r="C6" i="58"/>
  <c r="C37" i="58"/>
  <c r="C26" i="61"/>
  <c r="E24" i="51"/>
  <c r="B9" i="55"/>
  <c r="B24" i="50"/>
  <c r="B25" i="51"/>
  <c r="B13" i="52"/>
  <c r="B30" i="52"/>
  <c r="B27" i="53"/>
  <c r="C11" i="54"/>
  <c r="C41" i="53"/>
  <c r="B22" i="54"/>
  <c r="B30" i="56"/>
  <c r="C32" i="58"/>
  <c r="E14" i="58"/>
  <c r="B16" i="60"/>
  <c r="B47" i="59"/>
  <c r="C20" i="61"/>
  <c r="B28" i="52"/>
  <c r="C37" i="50"/>
  <c r="C19" i="51"/>
  <c r="B16" i="51"/>
  <c r="C39" i="52"/>
  <c r="B2" i="53"/>
  <c r="C15" i="55"/>
  <c r="D8" i="56"/>
  <c r="E6" i="56"/>
  <c r="C42" i="55"/>
  <c r="D33" i="57"/>
  <c r="E32" i="60"/>
  <c r="C41" i="59"/>
  <c r="C42" i="61"/>
  <c r="B23" i="60"/>
  <c r="E4" i="52"/>
  <c r="C32" i="53"/>
  <c r="C45" i="50"/>
  <c r="C42" i="51"/>
  <c r="B16" i="52"/>
  <c r="B5" i="54"/>
  <c r="D18" i="53"/>
  <c r="C9" i="53"/>
  <c r="C8" i="55"/>
  <c r="C39" i="55"/>
  <c r="B44" i="57"/>
  <c r="B16" i="58"/>
  <c r="C33" i="61"/>
  <c r="B16" i="56"/>
  <c r="B30" i="57"/>
  <c r="C17" i="58"/>
  <c r="B30" i="58"/>
  <c r="E44" i="59"/>
  <c r="C30" i="58"/>
  <c r="B47" i="58"/>
  <c r="B18" i="60"/>
  <c r="C36" i="60"/>
  <c r="C15" i="52"/>
  <c r="E14" i="53"/>
  <c r="B25" i="53"/>
  <c r="D37" i="55"/>
  <c r="E22" i="55"/>
  <c r="B21" i="56"/>
  <c r="B35" i="56"/>
  <c r="B27" i="56"/>
  <c r="E21" i="60"/>
  <c r="C9" i="58"/>
  <c r="B27" i="58"/>
  <c r="C5" i="57"/>
  <c r="D18" i="61"/>
  <c r="B15" i="59"/>
  <c r="F12" i="61"/>
  <c r="C17" i="61"/>
  <c r="B29" i="52"/>
  <c r="E7" i="55"/>
  <c r="B11" i="55" s="1"/>
  <c r="D25" i="53"/>
  <c r="C10" i="54"/>
  <c r="B7" i="53"/>
  <c r="C20" i="55"/>
  <c r="C33" i="55"/>
  <c r="C18" i="57"/>
  <c r="B45" i="57"/>
  <c r="C45" i="60"/>
  <c r="B7" i="57"/>
  <c r="E31" i="58"/>
  <c r="B28" i="59"/>
  <c r="C47" i="60"/>
  <c r="C41" i="61"/>
  <c r="E31" i="61"/>
  <c r="AE41" i="1"/>
  <c r="AB41" i="1"/>
  <c r="Y41" i="1"/>
  <c r="V41" i="1"/>
  <c r="S41" i="1"/>
  <c r="P41" i="1"/>
  <c r="M41" i="1"/>
  <c r="J41" i="1"/>
  <c r="G41" i="1"/>
  <c r="D41" i="1"/>
  <c r="AE16" i="1" l="1"/>
  <c r="AB16" i="1"/>
  <c r="Y16" i="1"/>
  <c r="G38" i="1"/>
  <c r="J38" i="1"/>
  <c r="M38" i="1"/>
  <c r="P38" i="1"/>
  <c r="S38" i="1"/>
  <c r="V38" i="1"/>
  <c r="Y38" i="1"/>
  <c r="AB38" i="1"/>
  <c r="AE38" i="1"/>
  <c r="G27" i="1"/>
  <c r="J27" i="1"/>
  <c r="M27" i="1"/>
  <c r="P27" i="1"/>
  <c r="S27" i="1"/>
  <c r="V27" i="1"/>
  <c r="Y27" i="1"/>
  <c r="AB27" i="1"/>
  <c r="AE27" i="1"/>
  <c r="G17" i="1"/>
  <c r="J17" i="1"/>
  <c r="M17" i="1"/>
  <c r="P17" i="1"/>
  <c r="S17" i="1"/>
  <c r="V17" i="1"/>
  <c r="Y17" i="1"/>
  <c r="AB17" i="1"/>
  <c r="AE17" i="1"/>
  <c r="V16" i="1"/>
  <c r="S16" i="1"/>
  <c r="P16" i="1"/>
  <c r="M16" i="1"/>
  <c r="J16" i="1"/>
  <c r="G16" i="1"/>
  <c r="G10" i="1"/>
  <c r="J10" i="1"/>
  <c r="M10" i="1"/>
  <c r="P10" i="1"/>
  <c r="S10" i="1"/>
  <c r="V10" i="1"/>
  <c r="Y10" i="1"/>
  <c r="AB10" i="1"/>
  <c r="AE10" i="1"/>
  <c r="D38" i="1"/>
  <c r="D27" i="1"/>
  <c r="D17" i="1"/>
  <c r="D10" i="1"/>
  <c r="AE26" i="1"/>
  <c r="AB26" i="1"/>
  <c r="Y26" i="1"/>
  <c r="V26" i="1"/>
  <c r="S26" i="1"/>
  <c r="P26" i="1"/>
  <c r="M26" i="1"/>
  <c r="J26" i="1"/>
  <c r="G26" i="1"/>
  <c r="D26" i="1"/>
  <c r="D16" i="1"/>
  <c r="H12" i="1"/>
  <c r="G12" i="1"/>
  <c r="C37" i="1"/>
  <c r="B29" i="1"/>
  <c r="B19" i="1"/>
  <c r="C29" i="1"/>
  <c r="E19" i="1"/>
  <c r="D19" i="1"/>
  <c r="C19" i="1"/>
  <c r="C26" i="1"/>
  <c r="C16" i="1"/>
  <c r="G40" i="1" l="1"/>
  <c r="AE40" i="1"/>
  <c r="M39" i="1"/>
  <c r="D29" i="1"/>
  <c r="J40" i="1"/>
  <c r="AE39" i="1"/>
  <c r="E29" i="1"/>
  <c r="Y40" i="1"/>
  <c r="D40" i="1"/>
  <c r="E40" i="1" s="1"/>
  <c r="AB40" i="1"/>
  <c r="C39" i="1"/>
  <c r="C41" i="1"/>
  <c r="Z41" i="1" s="1"/>
  <c r="P40" i="1"/>
  <c r="C40" i="1"/>
  <c r="J12" i="1"/>
  <c r="S40" i="1"/>
  <c r="K12" i="1"/>
  <c r="V40" i="1"/>
  <c r="M40" i="1"/>
  <c r="T40" i="1"/>
  <c r="G39" i="1"/>
  <c r="J39" i="1"/>
  <c r="Y39" i="1"/>
  <c r="D39" i="1"/>
  <c r="P39" i="1"/>
  <c r="AB39" i="1"/>
  <c r="S39" i="1"/>
  <c r="AF41" i="1"/>
  <c r="T41" i="1"/>
  <c r="K41" i="1"/>
  <c r="Q41" i="1"/>
  <c r="V39" i="1"/>
  <c r="G19" i="1"/>
  <c r="H19" i="1"/>
  <c r="D18" i="51" a="1"/>
  <c r="D37" i="54" a="1"/>
  <c r="D15" i="52" a="1"/>
  <c r="D28" i="58" a="1"/>
  <c r="E15" i="60" a="1"/>
  <c r="D28" i="50" a="1"/>
  <c r="D13" i="61" a="1"/>
  <c r="D44" i="60" a="1"/>
  <c r="D5" i="40" a="1"/>
  <c r="E16" i="61" a="1"/>
  <c r="C24" i="40" a="1"/>
  <c r="B2" i="61" a="1"/>
  <c r="E27" i="51" a="1"/>
  <c r="E11" i="55" a="1"/>
  <c r="D8" i="55" a="1"/>
  <c r="C41" i="40" a="1"/>
  <c r="E37" i="60" a="1"/>
  <c r="D24" i="51" a="1"/>
  <c r="D40" i="61" a="1"/>
  <c r="E32" i="54" a="1"/>
  <c r="E28" i="57" a="1"/>
  <c r="D11" i="59" a="1"/>
  <c r="D33" i="58" a="1"/>
  <c r="D28" i="59" a="1"/>
  <c r="E33" i="40" a="1"/>
  <c r="E6" i="60" a="1"/>
  <c r="C38" i="40" a="1"/>
  <c r="D20" i="61" a="1"/>
  <c r="F11" i="60" a="1"/>
  <c r="D6" i="40" a="1"/>
  <c r="D7" i="56" a="1"/>
  <c r="D39" i="52" a="1"/>
  <c r="D18" i="59" a="1"/>
  <c r="C30" i="40" a="1"/>
  <c r="D33" i="61" a="1"/>
  <c r="D32" i="51" a="1"/>
  <c r="E6" i="54" a="1"/>
  <c r="E10" i="40" a="1"/>
  <c r="D24" i="61" a="1"/>
  <c r="E16" i="51" a="1"/>
  <c r="D29" i="61" a="1"/>
  <c r="E25" i="51" a="1"/>
  <c r="B30" i="40" a="1"/>
  <c r="E40" i="51" a="1"/>
  <c r="B31" i="40" a="1"/>
  <c r="D26" i="51" a="1"/>
  <c r="E9" i="61" a="1"/>
  <c r="D32" i="58" a="1"/>
  <c r="D34" i="50" a="1"/>
  <c r="E26" i="58" a="1"/>
  <c r="D40" i="53" a="1"/>
  <c r="D24" i="59" a="1"/>
  <c r="E38" i="55" a="1"/>
  <c r="D26" i="52" a="1"/>
  <c r="E24" i="54" a="1"/>
  <c r="E36" i="54" a="1"/>
  <c r="C5" i="40" a="1"/>
  <c r="D24" i="54" a="1"/>
  <c r="C32" i="40" a="1"/>
  <c r="D34" i="53" a="1"/>
  <c r="D17" i="54" a="1"/>
  <c r="E22" i="58" a="1"/>
  <c r="D15" i="54" a="1"/>
  <c r="E15" i="57" a="1"/>
  <c r="D11" i="40" a="1"/>
  <c r="F8" i="51" a="1"/>
  <c r="D20" i="55" a="1"/>
  <c r="E11" i="61" a="1"/>
  <c r="D19" i="55" a="1"/>
  <c r="F8" i="53" a="1"/>
  <c r="D6" i="51" a="1"/>
  <c r="D40" i="55" a="1"/>
  <c r="E40" i="61" a="1"/>
  <c r="D5" i="57" a="1"/>
  <c r="E40" i="56" a="1"/>
  <c r="D38" i="40" a="1"/>
  <c r="E10" i="55" a="1"/>
  <c r="E4" i="59" a="1"/>
  <c r="E38" i="52" a="1"/>
  <c r="D44" i="50" a="1"/>
  <c r="C12" i="40" a="1"/>
  <c r="D11" i="51" a="1"/>
  <c r="E36" i="60" a="1"/>
  <c r="E18" i="61" a="1"/>
  <c r="D26" i="56" a="1"/>
  <c r="D7" i="61" a="1"/>
  <c r="E24" i="50" a="1"/>
  <c r="E38" i="56" a="1"/>
  <c r="F7" i="61" a="1"/>
  <c r="E28" i="60" a="1"/>
  <c r="D15" i="58" a="1"/>
  <c r="E10" i="50" a="1"/>
  <c r="E28" i="61" a="1"/>
  <c r="D16" i="50" a="1"/>
  <c r="E17" i="51" a="1"/>
  <c r="E23" i="55" a="1"/>
  <c r="F12" i="50" a="1"/>
  <c r="E24" i="59" a="1"/>
  <c r="F10" i="50" a="1"/>
  <c r="D28" i="56" a="1"/>
  <c r="B6" i="40" a="1"/>
  <c r="E12" i="52" a="1"/>
  <c r="B13" i="40" a="1"/>
  <c r="D43" i="50" a="1"/>
  <c r="C43" i="40" a="1"/>
  <c r="D43" i="57" a="1"/>
  <c r="E32" i="40" a="1"/>
  <c r="E10" i="52" a="1"/>
  <c r="E15" i="55" a="1"/>
  <c r="D23" i="56" a="1"/>
  <c r="E18" i="50" a="1"/>
  <c r="D42" i="55" a="1"/>
  <c r="D43" i="56" a="1"/>
  <c r="E39" i="57" a="1"/>
  <c r="D32" i="60" a="1"/>
  <c r="B17" i="40" a="1"/>
  <c r="D32" i="40" a="1"/>
  <c r="E8" i="40" a="1"/>
  <c r="E43" i="40" a="1"/>
  <c r="D29" i="54" a="1"/>
  <c r="D10" i="59" a="1"/>
  <c r="D42" i="50" a="1"/>
  <c r="D30" i="59" a="1"/>
  <c r="D42" i="40" a="1"/>
  <c r="F7" i="52" a="1"/>
  <c r="E33" i="52" a="1"/>
  <c r="E33" i="56" a="1"/>
  <c r="E33" i="60" a="1"/>
  <c r="E8" i="61" a="1"/>
  <c r="D34" i="57" a="1"/>
  <c r="D20" i="50" a="1"/>
  <c r="E23" i="56" a="1"/>
  <c r="E14" i="40" a="1"/>
  <c r="D12" i="50" a="1"/>
  <c r="E19" i="52" a="1"/>
  <c r="E24" i="56" a="1"/>
  <c r="D41" i="57" a="1"/>
  <c r="D18" i="40" a="1"/>
  <c r="E6" i="59" a="1"/>
  <c r="E11" i="54" a="1"/>
  <c r="E39" i="61" a="1"/>
  <c r="D6" i="54" a="1"/>
  <c r="D38" i="61" a="1"/>
  <c r="F8" i="61" a="1"/>
  <c r="E16" i="50" a="1"/>
  <c r="F12" i="59" a="1"/>
  <c r="E17" i="40" a="1"/>
  <c r="E43" i="61" a="1"/>
  <c r="C39" i="40" a="1"/>
  <c r="E39" i="56" a="1"/>
  <c r="E34" i="58" a="1"/>
  <c r="D9" i="54" a="1"/>
  <c r="D22" i="59" a="1"/>
  <c r="D40" i="57" a="1"/>
  <c r="D33" i="40" a="1"/>
  <c r="D22" i="55" a="1"/>
  <c r="D30" i="58" a="1"/>
  <c r="D25" i="52" a="1"/>
  <c r="D6" i="60" a="1"/>
  <c r="F12" i="40" a="1"/>
  <c r="E19" i="50" a="1"/>
  <c r="D35" i="52" a="1"/>
  <c r="D18" i="58" a="1"/>
  <c r="D9" i="57" a="1"/>
  <c r="D41" i="52" a="1"/>
  <c r="E36" i="51" a="1"/>
  <c r="D36" i="40" a="1"/>
  <c r="D26" i="60" a="1"/>
  <c r="D29" i="56" a="1"/>
  <c r="D23" i="57" a="1"/>
  <c r="D33" i="54" a="1"/>
  <c r="D9" i="55" a="1"/>
  <c r="E40" i="50" a="1"/>
  <c r="D30" i="53" a="1"/>
  <c r="E8" i="52" a="1"/>
  <c r="E43" i="58" a="1"/>
  <c r="E9" i="56" a="1"/>
  <c r="E32" i="50" a="1"/>
  <c r="C36" i="40" a="1"/>
  <c r="E8" i="50" a="1"/>
  <c r="B14" i="40" a="1"/>
  <c r="D38" i="58" a="1"/>
  <c r="C27" i="40" a="1"/>
  <c r="E39" i="52" a="1"/>
  <c r="D12" i="52" a="1"/>
  <c r="D13" i="60" a="1"/>
  <c r="E40" i="54" a="1"/>
  <c r="D12" i="57" a="1"/>
  <c r="E12" i="40" a="1"/>
  <c r="D25" i="50" a="1"/>
  <c r="E18" i="55" a="1"/>
  <c r="D42" i="60" a="1"/>
  <c r="E10" i="58" a="1"/>
  <c r="D36" i="61" a="1"/>
  <c r="E16" i="58" a="1"/>
  <c r="D26" i="55" a="1"/>
  <c r="B2" i="55" a="1"/>
  <c r="E42" i="58" a="1"/>
  <c r="D40" i="60" a="1"/>
  <c r="E9" i="40" a="1"/>
  <c r="E36" i="40" a="1"/>
  <c r="E42" i="60" a="1"/>
  <c r="E24" i="40" a="1"/>
  <c r="F8" i="52" a="1"/>
  <c r="E35" i="40" a="1"/>
  <c r="D8" i="57" a="1"/>
  <c r="D15" i="53" a="1"/>
  <c r="D42" i="61" a="1"/>
  <c r="D33" i="59" a="1"/>
  <c r="D32" i="52" a="1"/>
  <c r="D10" i="57" a="1"/>
  <c r="D20" i="58" a="1"/>
  <c r="E9" i="51" a="1"/>
  <c r="D15" i="56" a="1"/>
  <c r="D29" i="52" a="1"/>
  <c r="E23" i="51" a="1"/>
  <c r="D11" i="50" a="1"/>
  <c r="E23" i="50" a="1"/>
  <c r="F9" i="40" a="1"/>
  <c r="D22" i="50" a="1"/>
  <c r="D36" i="50" a="1"/>
  <c r="D40" i="58" a="1"/>
  <c r="D25" i="60" a="1"/>
  <c r="D41" i="59" a="1"/>
  <c r="B8" i="40" a="1"/>
  <c r="D41" i="50" a="1"/>
  <c r="E28" i="55" a="1"/>
  <c r="D43" i="55" a="1"/>
  <c r="D42" i="53" a="1"/>
  <c r="D42" i="57" a="1"/>
  <c r="D16" i="58" a="1"/>
  <c r="E17" i="61" a="1"/>
  <c r="D44" i="55" a="1"/>
  <c r="E5" i="59" a="1"/>
  <c r="D24" i="55" a="1"/>
  <c r="D38" i="54" a="1"/>
  <c r="D24" i="53" a="1"/>
  <c r="D40" i="54" a="1"/>
  <c r="D43" i="52" a="1"/>
  <c r="E26" i="50" a="1"/>
  <c r="D27" i="52" a="1"/>
  <c r="E44" i="51" a="1"/>
  <c r="D43" i="61" a="1"/>
  <c r="D11" i="61" a="1"/>
  <c r="D30" i="54" a="1"/>
  <c r="D43" i="54" a="1"/>
  <c r="D40" i="59" a="1"/>
  <c r="E34" i="50" a="1"/>
  <c r="D9" i="50" a="1"/>
  <c r="E17" i="55" a="1"/>
  <c r="E35" i="51" a="1"/>
  <c r="F8" i="56" a="1"/>
  <c r="E18" i="60" a="1"/>
  <c r="B5" i="40" a="1"/>
  <c r="E12" i="55" a="1"/>
  <c r="D30" i="40" a="1"/>
  <c r="E19" i="54" a="1"/>
  <c r="D29" i="51" a="1"/>
  <c r="D35" i="54" a="1"/>
  <c r="D30" i="50" a="1"/>
  <c r="E15" i="50" a="1"/>
  <c r="E33" i="57" a="1"/>
  <c r="D25" i="51" a="1"/>
  <c r="E37" i="58" a="1"/>
  <c r="E22" i="57" a="1"/>
  <c r="F12" i="57" a="1"/>
  <c r="D7" i="54" a="1"/>
  <c r="D5" i="56" a="1"/>
  <c r="D44" i="52" a="1"/>
  <c r="B42" i="40" a="1"/>
  <c r="E7" i="60" a="1"/>
  <c r="D34" i="40" a="1"/>
  <c r="D8" i="53" a="1"/>
  <c r="B15" i="40" a="1"/>
  <c r="D17" i="52" a="1"/>
  <c r="E23" i="40" a="1"/>
  <c r="E44" i="60" a="1"/>
  <c r="D17" i="61" a="1"/>
  <c r="D37" i="40" a="1"/>
  <c r="D22" i="58" a="1"/>
  <c r="E17" i="58" a="1"/>
  <c r="E35" i="56" a="1"/>
  <c r="C13" i="40" a="1"/>
  <c r="D28" i="52" a="1"/>
  <c r="E10" i="61" a="1"/>
  <c r="E17" i="57" a="1"/>
  <c r="E38" i="60" a="1"/>
  <c r="D19" i="56" a="1"/>
  <c r="F9" i="54" a="1"/>
  <c r="C7" i="40" a="1"/>
  <c r="E4" i="54" a="1"/>
  <c r="D12" i="40" a="1"/>
  <c r="E38" i="51" a="1"/>
  <c r="E16" i="55" a="1"/>
  <c r="D23" i="51" a="1"/>
  <c r="D43" i="58" a="1"/>
  <c r="D35" i="57" a="1"/>
  <c r="D5" i="61" a="1"/>
  <c r="F12" i="54" a="1"/>
  <c r="D26" i="61" a="1"/>
  <c r="E19" i="59" a="1"/>
  <c r="E18" i="52" a="1"/>
  <c r="E19" i="60" a="1"/>
  <c r="B26" i="40" a="1"/>
  <c r="D35" i="58" a="1"/>
  <c r="E4" i="40" a="1"/>
  <c r="D7" i="52" a="1"/>
  <c r="E5" i="51" a="1"/>
  <c r="D33" i="56" a="1"/>
  <c r="B36" i="40" a="1"/>
  <c r="D27" i="55" a="1"/>
  <c r="B25" i="40" a="1"/>
  <c r="D7" i="53" a="1"/>
  <c r="C6" i="40" a="1"/>
  <c r="E25" i="59" a="1"/>
  <c r="E26" i="61" a="1"/>
  <c r="E18" i="58" a="1"/>
  <c r="E38" i="54" a="1"/>
  <c r="D9" i="53" a="1"/>
  <c r="D44" i="53" a="1"/>
  <c r="D26" i="50" a="1"/>
  <c r="E27" i="52" a="1"/>
  <c r="C8" i="40" a="1"/>
  <c r="D11" i="58" a="1"/>
  <c r="D29" i="40" a="1"/>
  <c r="E40" i="40" a="1"/>
  <c r="E35" i="50" a="1"/>
  <c r="E25" i="61" a="1"/>
  <c r="D37" i="58" a="1"/>
  <c r="D44" i="57" a="1"/>
  <c r="D43" i="60" a="1"/>
  <c r="E11" i="57" a="1"/>
  <c r="E11" i="56" a="1"/>
  <c r="D10" i="50" a="1"/>
  <c r="E32" i="51" a="1"/>
  <c r="D40" i="50" a="1"/>
  <c r="E37" i="40" a="1"/>
  <c r="D44" i="59" a="1"/>
  <c r="D19" i="57" a="1"/>
  <c r="D16" i="51" a="1"/>
  <c r="E24" i="57" a="1"/>
  <c r="D5" i="50" a="1"/>
  <c r="E36" i="58" a="1"/>
  <c r="C44" i="40" a="1"/>
  <c r="D33" i="50" a="1"/>
  <c r="E22" i="60" a="1"/>
  <c r="D9" i="52" a="1"/>
  <c r="F12" i="60" a="1"/>
  <c r="E9" i="52" a="1"/>
  <c r="E34" i="40" a="1"/>
  <c r="E35" i="60" a="1"/>
  <c r="D34" i="61" a="1"/>
  <c r="E19" i="58" a="1"/>
  <c r="D23" i="52" a="1"/>
  <c r="D34" i="59" a="1"/>
  <c r="B2" i="56" a="1"/>
  <c r="D18" i="55" a="1"/>
  <c r="D20" i="54" a="1"/>
  <c r="E5" i="56" a="1"/>
  <c r="D27" i="40" a="1"/>
  <c r="D22" i="54" a="1"/>
  <c r="D20" i="40" a="1"/>
  <c r="D12" i="54" a="1"/>
  <c r="D17" i="58" a="1"/>
  <c r="D25" i="61" a="1"/>
  <c r="D6" i="53" a="1"/>
  <c r="E34" i="57" a="1"/>
  <c r="B2" i="51" a="1"/>
  <c r="D38" i="56" a="1"/>
  <c r="F10" i="52" a="1"/>
  <c r="E34" i="55" a="1"/>
  <c r="E24" i="61" a="1"/>
  <c r="E8" i="60" a="1"/>
  <c r="B20" i="40" a="1"/>
  <c r="F8" i="54" a="1"/>
  <c r="E15" i="40" a="1"/>
  <c r="E26" i="52" a="1"/>
  <c r="D30" i="51" a="1"/>
  <c r="F11" i="56" a="1"/>
  <c r="E25" i="57" a="1"/>
  <c r="E25" i="58" a="1"/>
  <c r="D27" i="53" a="1"/>
  <c r="D28" i="55" a="1"/>
  <c r="E28" i="56" a="1"/>
  <c r="E32" i="58" a="1"/>
  <c r="E37" i="52" a="1"/>
  <c r="E32" i="52" a="1"/>
  <c r="E10" i="56" a="1"/>
  <c r="D36" i="52" a="1"/>
  <c r="E8" i="56" a="1"/>
  <c r="E24" i="52" a="1"/>
  <c r="E25" i="52" a="1"/>
  <c r="E10" i="60" a="1"/>
  <c r="F8" i="40" a="1"/>
  <c r="E26" i="56" a="1"/>
  <c r="B37" i="40" a="1"/>
  <c r="E19" i="55" a="1"/>
  <c r="D34" i="51" a="1"/>
  <c r="D15" i="50" a="1"/>
  <c r="E43" i="60" a="1"/>
  <c r="D17" i="50" a="1"/>
  <c r="C15" i="40" a="1"/>
  <c r="D7" i="57" a="1"/>
  <c r="E39" i="60" a="1"/>
  <c r="E23" i="61" a="1"/>
  <c r="D32" i="57" a="1"/>
  <c r="F8" i="50" a="1"/>
  <c r="E29" i="40" a="1"/>
  <c r="E27" i="50" a="1"/>
  <c r="E39" i="40" a="1"/>
  <c r="D18" i="50" a="1"/>
  <c r="D28" i="57" a="1"/>
  <c r="E9" i="58" a="1"/>
  <c r="E36" i="59" a="1"/>
  <c r="D10" i="54" a="1"/>
  <c r="D6" i="57" a="1"/>
  <c r="D20" i="57" a="1"/>
  <c r="E15" i="52" a="1"/>
  <c r="E35" i="59" a="1"/>
  <c r="E25" i="50" a="1"/>
  <c r="F10" i="60" a="1"/>
  <c r="F9" i="52" a="1"/>
  <c r="D23" i="50" a="1"/>
  <c r="D44" i="61" a="1"/>
  <c r="E28" i="58" a="1"/>
  <c r="E25" i="54" a="1"/>
  <c r="D30" i="52" a="1"/>
  <c r="F7" i="58" a="1"/>
  <c r="B18" i="40" a="1"/>
  <c r="B52" i="58"/>
  <c r="D39" i="51" a="1"/>
  <c r="D17" i="59" a="1"/>
  <c r="E28" i="52" a="1"/>
  <c r="D37" i="56" a="1"/>
  <c r="E42" i="61" a="1"/>
  <c r="F9" i="60" a="1"/>
  <c r="D23" i="61" a="1"/>
  <c r="E8" i="58" a="1"/>
  <c r="E12" i="50" a="1"/>
  <c r="D32" i="56" a="1"/>
  <c r="D41" i="56" a="1"/>
  <c r="E22" i="52" a="1"/>
  <c r="C19" i="40" a="1"/>
  <c r="E17" i="50" a="1"/>
  <c r="D10" i="58" a="1"/>
  <c r="D19" i="59" a="1"/>
  <c r="E25" i="60" a="1"/>
  <c r="D37" i="61" a="1"/>
  <c r="E9" i="57" a="1"/>
  <c r="D43" i="40" a="1"/>
  <c r="D43" i="53" a="1"/>
  <c r="D43" i="51" a="1"/>
  <c r="E11" i="58" a="1"/>
  <c r="D13" i="56" a="1"/>
  <c r="D13" i="54" a="1"/>
  <c r="D19" i="50" a="1"/>
  <c r="D30" i="57" a="1"/>
  <c r="E16" i="52" a="1"/>
  <c r="D44" i="40" a="1"/>
  <c r="D7" i="60" a="1"/>
  <c r="C34" i="40" a="1"/>
  <c r="D20" i="59" a="1"/>
  <c r="C40" i="40" a="1"/>
  <c r="D27" i="58" a="1"/>
  <c r="E4" i="60" a="1"/>
  <c r="E9" i="54" a="1"/>
  <c r="F10" i="40" a="1"/>
  <c r="D9" i="61" a="1"/>
  <c r="E40" i="52" a="1"/>
  <c r="E33" i="58" a="1"/>
  <c r="D33" i="60" a="1"/>
  <c r="D30" i="60" a="1"/>
  <c r="D29" i="50" a="1"/>
  <c r="E34" i="56" a="1"/>
  <c r="D24" i="40" a="1"/>
  <c r="D23" i="59" a="1"/>
  <c r="D8" i="40" a="1"/>
  <c r="E7" i="59" a="1"/>
  <c r="B29" i="40" a="1"/>
  <c r="D40" i="51" a="1"/>
  <c r="E28" i="51" a="1"/>
  <c r="B52" i="60"/>
  <c r="B16" i="40" a="1"/>
  <c r="D24" i="60" a="1"/>
  <c r="E35" i="52" a="1"/>
  <c r="E18" i="51" a="1"/>
  <c r="D22" i="57" a="1"/>
  <c r="E36" i="56" a="1"/>
  <c r="E19" i="51" a="1"/>
  <c r="F12" i="58" a="1"/>
  <c r="E27" i="56" a="1"/>
  <c r="E32" i="61" a="1"/>
  <c r="D44" i="54" a="1"/>
  <c r="D35" i="61" a="1"/>
  <c r="B44" i="40" a="1"/>
  <c r="D35" i="56" a="1"/>
  <c r="D9" i="40" a="1"/>
  <c r="F8" i="59" a="1"/>
  <c r="B35" i="40" a="1"/>
  <c r="D12" i="61" a="1"/>
  <c r="E27" i="40" a="1"/>
  <c r="D34" i="58" a="1"/>
  <c r="C37" i="40" a="1"/>
  <c r="B22" i="40" a="1"/>
  <c r="E37" i="56" a="1"/>
  <c r="D7" i="59" a="1"/>
  <c r="D23" i="58" a="1"/>
  <c r="E29" i="52" a="1"/>
  <c r="E28" i="40" a="1"/>
  <c r="D29" i="60" a="1"/>
  <c r="E16" i="40" a="1"/>
  <c r="E22" i="61" a="1"/>
  <c r="D39" i="40" a="1"/>
  <c r="D37" i="60" a="1"/>
  <c r="B2" i="58" a="1"/>
  <c r="D39" i="61" a="1"/>
  <c r="D40" i="56" a="1"/>
  <c r="D8" i="60" a="1"/>
  <c r="E35" i="61" a="1"/>
  <c r="E11" i="51" a="1"/>
  <c r="D20" i="51" a="1"/>
  <c r="E15" i="61" a="1"/>
  <c r="B2" i="40" a="1"/>
  <c r="D42" i="58" a="1"/>
  <c r="F9" i="56" a="1"/>
  <c r="B2" i="54" a="1"/>
  <c r="D27" i="51" a="1"/>
  <c r="D7" i="40" a="1"/>
  <c r="D10" i="53" a="1"/>
  <c r="D13" i="55" a="1"/>
  <c r="E15" i="51" a="1"/>
  <c r="E19" i="40" a="1"/>
  <c r="D23" i="54" a="1"/>
  <c r="D41" i="61" a="1"/>
  <c r="D35" i="40" a="1"/>
  <c r="E18" i="57" a="1"/>
  <c r="E24" i="58" a="1"/>
  <c r="D15" i="57" a="1"/>
  <c r="E35" i="58" a="1"/>
  <c r="F9" i="50" a="1"/>
  <c r="E39" i="54" a="1"/>
  <c r="E31" i="40" a="1"/>
  <c r="E25" i="56" a="1"/>
  <c r="D22" i="40" a="1"/>
  <c r="D11" i="57" a="1"/>
  <c r="B23" i="40" a="1"/>
  <c r="C9" i="40" a="1"/>
  <c r="E37" i="54" a="1"/>
  <c r="D18" i="54" a="1"/>
  <c r="E7" i="40" a="1"/>
  <c r="F8" i="57" a="1"/>
  <c r="E34" i="54" a="1"/>
  <c r="F10" i="56" a="1"/>
  <c r="E27" i="58" a="1"/>
  <c r="D25" i="55" a="1"/>
  <c r="E36" i="52" a="1"/>
  <c r="D25" i="40" a="1"/>
  <c r="D16" i="40" a="1"/>
  <c r="C42" i="40" a="1"/>
  <c r="E29" i="61" a="1"/>
  <c r="D32" i="61" a="1"/>
  <c r="E40" i="58" a="1"/>
  <c r="D13" i="52" a="1"/>
  <c r="D5" i="51" a="1"/>
  <c r="D19" i="52" a="1"/>
  <c r="D39" i="58" a="1"/>
  <c r="D36" i="53" a="1"/>
  <c r="E22" i="59" a="1"/>
  <c r="C17" i="40" a="1"/>
  <c r="E23" i="60" a="1"/>
  <c r="E5" i="60" a="1"/>
  <c r="E42" i="59" a="1"/>
  <c r="E16" i="56" a="1"/>
  <c r="D13" i="50" a="1"/>
  <c r="D36" i="51" a="1"/>
  <c r="E18" i="54" a="1"/>
  <c r="D41" i="58" a="1"/>
  <c r="D32" i="50" a="1"/>
  <c r="C26" i="40" a="1"/>
  <c r="E34" i="52" a="1"/>
  <c r="D26" i="40" a="1"/>
  <c r="E40" i="57" a="1"/>
  <c r="F10" i="61" a="1"/>
  <c r="E8" i="57" a="1"/>
  <c r="C47" i="40" a="1"/>
  <c r="D44" i="58" a="1"/>
  <c r="E22" i="50" a="1"/>
  <c r="F12" i="53" a="1"/>
  <c r="D38" i="53" a="1"/>
  <c r="C20" i="40" a="1"/>
  <c r="B2" i="52" a="1"/>
  <c r="E29" i="56" a="1"/>
  <c r="C25" i="40" a="1"/>
  <c r="D7" i="51" a="1"/>
  <c r="D27" i="60" a="1"/>
  <c r="D16" i="60" a="1"/>
  <c r="B32" i="40" a="1"/>
  <c r="D44" i="51" a="1"/>
  <c r="B38" i="40" a="1"/>
  <c r="D25" i="58" a="1"/>
  <c r="D17" i="40" a="1"/>
  <c r="E8" i="51" a="1"/>
  <c r="D37" i="50" a="1"/>
  <c r="E37" i="55" a="1"/>
  <c r="E17" i="60" a="1"/>
  <c r="E15" i="58" a="1"/>
  <c r="E23" i="52" a="1"/>
  <c r="D5" i="54" a="1"/>
  <c r="D27" i="61" a="1"/>
  <c r="D35" i="59" a="1"/>
  <c r="B24" i="40" a="1"/>
  <c r="F11" i="54" a="1"/>
  <c r="B45" i="40" a="1"/>
  <c r="F12" i="56" a="1"/>
  <c r="D30" i="56" a="1"/>
  <c r="E27" i="54" a="1"/>
  <c r="D38" i="50" a="1"/>
  <c r="D34" i="54" a="1"/>
  <c r="E15" i="59" a="1"/>
  <c r="E33" i="54" a="1"/>
  <c r="E7" i="56" a="1"/>
  <c r="E21" i="40" a="1"/>
  <c r="C18" i="40" a="1"/>
  <c r="E16" i="54" a="1"/>
  <c r="E9" i="50" a="1"/>
  <c r="D27" i="54" a="1"/>
  <c r="E22" i="54" a="1"/>
  <c r="B2" i="50" a="1"/>
  <c r="D12" i="56" a="1"/>
  <c r="D30" i="55" a="1"/>
  <c r="D25" i="57" a="1"/>
  <c r="D29" i="53" a="1"/>
  <c r="E6" i="52" a="1"/>
  <c r="E38" i="40" a="1"/>
  <c r="D39" i="56" a="1"/>
  <c r="D30" i="61" a="1"/>
  <c r="D34" i="52" a="1"/>
  <c r="D44" i="56" a="1"/>
  <c r="D37" i="52" a="1"/>
  <c r="B34" i="40" a="1"/>
  <c r="D6" i="50" a="1"/>
  <c r="E39" i="50" a="1"/>
  <c r="D29" i="59" a="1"/>
  <c r="D19" i="51" a="1"/>
  <c r="D38" i="51" a="1"/>
  <c r="D33" i="52" a="1"/>
  <c r="E29" i="54" a="1"/>
  <c r="D24" i="57" a="1"/>
  <c r="D22" i="51" a="1"/>
  <c r="D42" i="51" a="1"/>
  <c r="E27" i="61" a="1"/>
  <c r="E26" i="40" a="1"/>
  <c r="D18" i="60" a="1"/>
  <c r="E24" i="60" a="1"/>
  <c r="E9" i="55" a="1"/>
  <c r="E34" i="61" a="1"/>
  <c r="E15" i="54" a="1"/>
  <c r="E37" i="57" a="1"/>
  <c r="E33" i="50" a="1"/>
  <c r="D8" i="50" a="1"/>
  <c r="B12" i="40" a="1"/>
  <c r="E27" i="60" a="1"/>
  <c r="D40" i="40" a="1"/>
  <c r="E22" i="40" a="1"/>
  <c r="D5" i="60" a="1"/>
  <c r="B19" i="40" a="1"/>
  <c r="E38" i="50" a="1"/>
  <c r="B28" i="40" a="1"/>
  <c r="E12" i="54" a="1"/>
  <c r="F9" i="61" a="1"/>
  <c r="E37" i="59" a="1"/>
  <c r="B47" i="40" a="1"/>
  <c r="D10" i="56" a="1"/>
  <c r="E38" i="61" a="1"/>
  <c r="D11" i="52" a="1"/>
  <c r="D22" i="60" a="1"/>
  <c r="C28" i="40" a="1"/>
  <c r="F7" i="50" a="1"/>
  <c r="B33" i="40" a="1"/>
  <c r="D41" i="60" a="1"/>
  <c r="D36" i="55" a="1"/>
  <c r="E11" i="60" a="1"/>
  <c r="D38" i="52" a="1"/>
  <c r="D13" i="51" a="1"/>
  <c r="D9" i="58" a="1"/>
  <c r="D20" i="56" a="1"/>
  <c r="E12" i="57" a="1"/>
  <c r="D41" i="51" a="1"/>
  <c r="E32" i="56" a="1"/>
  <c r="E36" i="61" a="1"/>
  <c r="B52" i="59"/>
  <c r="E23" i="54" a="1"/>
  <c r="D28" i="51" a="1"/>
  <c r="D27" i="50" a="1"/>
  <c r="D29" i="55" a="1"/>
  <c r="E19" i="57" a="1"/>
  <c r="F11" i="40" a="1"/>
  <c r="D24" i="52" a="1"/>
  <c r="D37" i="51" a="1"/>
  <c r="D19" i="40" a="1"/>
  <c r="F8" i="60" a="1"/>
  <c r="C29" i="40" a="1"/>
  <c r="E12" i="60" a="1"/>
  <c r="D8" i="59" a="1"/>
  <c r="D34" i="56" a="1"/>
  <c r="D36" i="56" a="1"/>
  <c r="E37" i="61" a="1"/>
  <c r="D19" i="58" a="1"/>
  <c r="B2" i="57" a="1"/>
  <c r="E11" i="52" a="1"/>
  <c r="D15" i="40" a="1"/>
  <c r="F7" i="40" a="1"/>
  <c r="E29" i="50" a="1"/>
  <c r="E33" i="61" a="1"/>
  <c r="D6" i="55" a="1"/>
  <c r="F7" i="53" a="1"/>
  <c r="C23" i="40" a="1"/>
  <c r="D34" i="60" a="1"/>
  <c r="B40" i="40" a="1"/>
  <c r="E10" i="51" a="1"/>
  <c r="C35" i="40" a="1"/>
  <c r="E7" i="54" a="1"/>
  <c r="E23" i="59" a="1"/>
  <c r="D23" i="60" a="1"/>
  <c r="E34" i="51" a="1"/>
  <c r="E29" i="51" a="1"/>
  <c r="B7" i="40" a="1"/>
  <c r="E34" i="60" a="1"/>
  <c r="D7" i="50" a="1"/>
  <c r="D32" i="54" a="1"/>
  <c r="E7" i="57" a="1"/>
  <c r="D39" i="50" a="1"/>
  <c r="C16" i="40" a="1"/>
  <c r="D20" i="60" a="1"/>
  <c r="B39" i="40" a="1"/>
  <c r="E12" i="56" a="1"/>
  <c r="E33" i="59" a="1"/>
  <c r="E5" i="52" a="1"/>
  <c r="D24" i="50" a="1"/>
  <c r="D6" i="56" a="1"/>
  <c r="B46" i="40" a="1"/>
  <c r="E43" i="54" a="1"/>
  <c r="D9" i="60" a="1"/>
  <c r="F11" i="52" a="1"/>
  <c r="E17" i="52" a="1"/>
  <c r="C11" i="40" a="1"/>
  <c r="D12" i="58" a="1"/>
  <c r="D9" i="51" a="1"/>
  <c r="D10" i="61" a="1"/>
  <c r="D6" i="61" a="1"/>
  <c r="D36" i="58" a="1"/>
  <c r="D6" i="52" a="1"/>
  <c r="D41" i="40" a="1"/>
  <c r="E12" i="61" a="1"/>
  <c r="E25" i="40" a="1"/>
  <c r="D22" i="52" a="1"/>
  <c r="F11" i="53" a="1"/>
  <c r="D24" i="58" a="1"/>
  <c r="D35" i="50" a="1"/>
  <c r="D17" i="60" a="1"/>
  <c r="E40" i="60" a="1"/>
  <c r="D19" i="53" a="1"/>
  <c r="D33" i="55" a="1"/>
  <c r="E9" i="60" a="1"/>
  <c r="D11" i="54" a="1"/>
  <c r="D25" i="54" a="1"/>
  <c r="E11" i="40" a="1"/>
  <c r="E26" i="54" a="1"/>
  <c r="D20" i="52" a="1"/>
  <c r="D10" i="55" a="1"/>
  <c r="B21" i="40" a="1"/>
  <c r="D17" i="57" a="1"/>
  <c r="D29" i="57" a="1"/>
  <c r="E33" i="55" a="1"/>
  <c r="B2" i="60" a="1"/>
  <c r="B9" i="40" a="1"/>
  <c r="D40" i="52" a="1"/>
  <c r="D13" i="40" a="1"/>
  <c r="E17" i="54" a="1"/>
  <c r="F10" i="53" a="1"/>
  <c r="D32" i="59" a="1"/>
  <c r="D41" i="54" a="1"/>
  <c r="D39" i="54" a="1"/>
  <c r="F9" i="53" a="1"/>
  <c r="E8" i="53" a="1"/>
  <c r="D17" i="56" a="1"/>
  <c r="B43" i="40" a="1"/>
  <c r="E44" i="61" a="1"/>
  <c r="D26" i="54" a="1"/>
  <c r="E28" i="54" a="1"/>
  <c r="E10" i="54" a="1"/>
  <c r="C10" i="40" a="1"/>
  <c r="D22" i="61" a="1"/>
  <c r="E26" i="57" a="1"/>
  <c r="D11" i="55" a="1"/>
  <c r="D20" i="53" a="1"/>
  <c r="E23" i="57" a="1"/>
  <c r="E37" i="50" a="1"/>
  <c r="E36" i="50" a="1"/>
  <c r="F10" i="59" a="1"/>
  <c r="C33" i="40" a="1"/>
  <c r="E22" i="56" a="1"/>
  <c r="D13" i="53" a="1"/>
  <c r="E29" i="60" a="1"/>
  <c r="E19" i="61" a="1"/>
  <c r="D27" i="57" a="1"/>
  <c r="E26" i="59" a="1"/>
  <c r="D10" i="60" a="1"/>
  <c r="C22" i="40" a="1"/>
  <c r="D36" i="54" a="1"/>
  <c r="E6" i="40" a="1"/>
  <c r="D26" i="57" a="1"/>
  <c r="D23" i="55" a="1"/>
  <c r="F11" i="59" a="1"/>
  <c r="D28" i="60" a="1"/>
  <c r="D18" i="52" a="1"/>
  <c r="E11" i="50" a="1"/>
  <c r="E29" i="58" a="1"/>
  <c r="D35" i="60" a="1"/>
  <c r="D32" i="55" a="1"/>
  <c r="E5" i="40" a="1"/>
  <c r="E35" i="54" a="1"/>
  <c r="D23" i="40" a="1"/>
  <c r="E44" i="58" a="1"/>
  <c r="D41" i="55" a="1"/>
  <c r="E24" i="55" a="1"/>
  <c r="D39" i="59" a="1"/>
  <c r="D16" i="54" a="1"/>
  <c r="E28" i="50" a="1"/>
  <c r="F9" i="51" a="1"/>
  <c r="F7" i="57" a="1"/>
  <c r="D5" i="52" a="1"/>
  <c r="D28" i="40" a="1"/>
  <c r="D28" i="54" a="1"/>
  <c r="D13" i="57" a="1"/>
  <c r="E16" i="57" a="1"/>
  <c r="E27" i="55" a="1"/>
  <c r="E18" i="40" a="1"/>
  <c r="E5" i="54" a="1"/>
  <c r="E10" i="57" a="1"/>
  <c r="E23" i="58" a="1"/>
  <c r="D10" i="40" a="1"/>
  <c r="E34" i="59" a="1"/>
  <c r="D19" i="54" a="1"/>
  <c r="B27" i="40" a="1"/>
  <c r="E44" i="56" a="1"/>
  <c r="E44" i="54" a="1"/>
  <c r="E44" i="53" a="1"/>
  <c r="D42" i="56" a="1"/>
  <c r="D28" i="61" a="1"/>
  <c r="D37" i="57" a="1"/>
  <c r="D42" i="54" a="1"/>
  <c r="D41" i="53" a="1"/>
  <c r="F10" i="55" a="1"/>
  <c r="D42" i="52" a="1"/>
  <c r="D9" i="52" l="1"/>
  <c r="D24" i="55"/>
  <c r="E28" i="55"/>
  <c r="B13" i="40"/>
  <c r="B27" i="40"/>
  <c r="E34" i="50"/>
  <c r="D13" i="54"/>
  <c r="E9" i="52"/>
  <c r="B17" i="40"/>
  <c r="E18" i="50"/>
  <c r="D41" i="50"/>
  <c r="E12" i="52"/>
  <c r="D19" i="54"/>
  <c r="D32" i="61"/>
  <c r="D34" i="61"/>
  <c r="D27" i="52"/>
  <c r="E9" i="57"/>
  <c r="E5" i="59"/>
  <c r="B8" i="40"/>
  <c r="B6" i="40"/>
  <c r="E34" i="59"/>
  <c r="F10" i="55"/>
  <c r="D16" i="40"/>
  <c r="D25" i="55"/>
  <c r="D40" i="54"/>
  <c r="E36" i="58"/>
  <c r="D41" i="59"/>
  <c r="D28" i="56"/>
  <c r="D10" i="40"/>
  <c r="D23" i="52"/>
  <c r="D30" i="54"/>
  <c r="E8" i="40"/>
  <c r="E22" i="60"/>
  <c r="D23" i="56"/>
  <c r="D25" i="60"/>
  <c r="F10" i="50"/>
  <c r="E23" i="58"/>
  <c r="D30" i="57"/>
  <c r="D24" i="57"/>
  <c r="F12" i="60"/>
  <c r="D32" i="60"/>
  <c r="D44" i="55"/>
  <c r="D40" i="58"/>
  <c r="E24" i="59"/>
  <c r="E10" i="57"/>
  <c r="B46" i="40"/>
  <c r="D37" i="57"/>
  <c r="E26" i="50"/>
  <c r="D37" i="61"/>
  <c r="D5" i="50"/>
  <c r="D36" i="50"/>
  <c r="F12" i="50"/>
  <c r="E5" i="54"/>
  <c r="D22" i="51"/>
  <c r="D10" i="59"/>
  <c r="E27" i="58"/>
  <c r="D24" i="53"/>
  <c r="E15" i="55"/>
  <c r="D22" i="50"/>
  <c r="E23" i="55"/>
  <c r="E18" i="40"/>
  <c r="D40" i="59"/>
  <c r="D13" i="56"/>
  <c r="F10" i="56"/>
  <c r="D33" i="50"/>
  <c r="E17" i="61"/>
  <c r="F9" i="40"/>
  <c r="E17" i="51"/>
  <c r="E27" i="55"/>
  <c r="D30" i="59"/>
  <c r="D11" i="61"/>
  <c r="E34" i="54"/>
  <c r="E39" i="57"/>
  <c r="E24" i="57"/>
  <c r="E23" i="50"/>
  <c r="D16" i="50"/>
  <c r="E16" i="57"/>
  <c r="E29" i="61"/>
  <c r="E35" i="60"/>
  <c r="F8" i="57"/>
  <c r="E25" i="60"/>
  <c r="E10" i="52"/>
  <c r="D11" i="50"/>
  <c r="E28" i="61"/>
  <c r="D13" i="57"/>
  <c r="D41" i="53"/>
  <c r="D25" i="40"/>
  <c r="E7" i="40"/>
  <c r="B11" i="40" s="1"/>
  <c r="D38" i="54"/>
  <c r="D16" i="58"/>
  <c r="E23" i="51"/>
  <c r="E10" i="50"/>
  <c r="D28" i="54"/>
  <c r="D6" i="56"/>
  <c r="D28" i="61"/>
  <c r="D18" i="54"/>
  <c r="D19" i="59"/>
  <c r="D16" i="51"/>
  <c r="D29" i="52"/>
  <c r="D15" i="58"/>
  <c r="D28" i="40"/>
  <c r="E19" i="58"/>
  <c r="E29" i="54"/>
  <c r="E37" i="54"/>
  <c r="D10" i="58"/>
  <c r="D19" i="57"/>
  <c r="D15" i="56"/>
  <c r="E28" i="60"/>
  <c r="D5" i="52"/>
  <c r="D19" i="50"/>
  <c r="E11" i="58"/>
  <c r="C9" i="40"/>
  <c r="E17" i="50"/>
  <c r="D44" i="59"/>
  <c r="E9" i="51"/>
  <c r="F7" i="61"/>
  <c r="F7" i="57"/>
  <c r="D24" i="50"/>
  <c r="D43" i="61"/>
  <c r="B23" i="40"/>
  <c r="C19" i="40"/>
  <c r="E37" i="40"/>
  <c r="D20" i="58"/>
  <c r="E38" i="56"/>
  <c r="F9" i="51"/>
  <c r="E5" i="52"/>
  <c r="E36" i="52"/>
  <c r="D11" i="57"/>
  <c r="E22" i="52"/>
  <c r="D40" i="50"/>
  <c r="D10" i="57"/>
  <c r="E24" i="50"/>
  <c r="E28" i="50"/>
  <c r="E33" i="59"/>
  <c r="E34" i="40"/>
  <c r="D22" i="40"/>
  <c r="D41" i="56"/>
  <c r="E32" i="51"/>
  <c r="D32" i="52"/>
  <c r="D7" i="61"/>
  <c r="D16" i="54"/>
  <c r="E12" i="56"/>
  <c r="D33" i="52"/>
  <c r="E25" i="56"/>
  <c r="D32" i="56"/>
  <c r="D10" i="50"/>
  <c r="D33" i="59"/>
  <c r="D26" i="56"/>
  <c r="D39" i="59"/>
  <c r="B39" i="40"/>
  <c r="D29" i="54"/>
  <c r="E31" i="40"/>
  <c r="E12" i="50"/>
  <c r="E11" i="56"/>
  <c r="D42" i="61"/>
  <c r="E18" i="61"/>
  <c r="E24" i="55"/>
  <c r="D20" i="60"/>
  <c r="D38" i="51"/>
  <c r="E39" i="54"/>
  <c r="E8" i="58"/>
  <c r="E11" i="57"/>
  <c r="D15" i="53"/>
  <c r="E36" i="60"/>
  <c r="D41" i="55"/>
  <c r="C16" i="40"/>
  <c r="D19" i="51"/>
  <c r="F9" i="50"/>
  <c r="D23" i="61"/>
  <c r="D43" i="60"/>
  <c r="D8" i="57"/>
  <c r="D11" i="51"/>
  <c r="E44" i="58"/>
  <c r="D39" i="50"/>
  <c r="D29" i="59"/>
  <c r="E35" i="58"/>
  <c r="F9" i="60"/>
  <c r="D44" i="57"/>
  <c r="E35" i="40"/>
  <c r="C12" i="40"/>
  <c r="D23" i="40"/>
  <c r="E7" i="57"/>
  <c r="B11" i="57" s="1"/>
  <c r="E39" i="50"/>
  <c r="D15" i="57"/>
  <c r="E42" i="61"/>
  <c r="D37" i="58"/>
  <c r="F8" i="52"/>
  <c r="D44" i="50"/>
  <c r="E35" i="54"/>
  <c r="D32" i="54"/>
  <c r="D6" i="50"/>
  <c r="E24" i="58"/>
  <c r="D37" i="56"/>
  <c r="E25" i="61"/>
  <c r="E24" i="40"/>
  <c r="E38" i="52"/>
  <c r="E5" i="40"/>
  <c r="D7" i="50"/>
  <c r="B34" i="40"/>
  <c r="E18" i="57"/>
  <c r="E28" i="52"/>
  <c r="E35" i="50"/>
  <c r="E42" i="60"/>
  <c r="E4" i="59"/>
  <c r="D32" i="55"/>
  <c r="E34" i="60"/>
  <c r="D37" i="52"/>
  <c r="D35" i="40"/>
  <c r="D17" i="59"/>
  <c r="E40" i="40"/>
  <c r="E36" i="40"/>
  <c r="E10" i="55"/>
  <c r="D35" i="60"/>
  <c r="B7" i="40"/>
  <c r="D44" i="56"/>
  <c r="D41" i="61"/>
  <c r="D39" i="51"/>
  <c r="D29" i="40"/>
  <c r="E9" i="40"/>
  <c r="D38" i="40"/>
  <c r="E29" i="58"/>
  <c r="E29" i="51"/>
  <c r="D34" i="52"/>
  <c r="D23" i="54"/>
  <c r="D11" i="58"/>
  <c r="D40" i="60"/>
  <c r="E40" i="56"/>
  <c r="E11" i="50"/>
  <c r="E34" i="51"/>
  <c r="D30" i="61"/>
  <c r="E19" i="40"/>
  <c r="B18" i="40"/>
  <c r="C8" i="40"/>
  <c r="E42" i="58"/>
  <c r="D5" i="57"/>
  <c r="D18" i="52"/>
  <c r="D23" i="60"/>
  <c r="D39" i="56"/>
  <c r="E15" i="51"/>
  <c r="F7" i="58"/>
  <c r="E27" i="52"/>
  <c r="B2" i="55"/>
  <c r="E40" i="61"/>
  <c r="D28" i="60"/>
  <c r="E23" i="59"/>
  <c r="E38" i="40"/>
  <c r="D13" i="55"/>
  <c r="D30" i="52"/>
  <c r="D26" i="50"/>
  <c r="D26" i="55"/>
  <c r="D40" i="55"/>
  <c r="F11" i="59"/>
  <c r="E7" i="54"/>
  <c r="B11" i="54" s="1"/>
  <c r="E6" i="52"/>
  <c r="D10" i="53"/>
  <c r="E25" i="54"/>
  <c r="D44" i="53"/>
  <c r="E16" i="58"/>
  <c r="D6" i="51"/>
  <c r="D23" i="55"/>
  <c r="C35" i="40"/>
  <c r="D29" i="53"/>
  <c r="D7" i="40"/>
  <c r="E28" i="58"/>
  <c r="D9" i="53"/>
  <c r="D36" i="61"/>
  <c r="F8" i="53"/>
  <c r="D26" i="57"/>
  <c r="E10" i="51"/>
  <c r="D25" i="57"/>
  <c r="D27" i="51"/>
  <c r="D44" i="61"/>
  <c r="E38" i="54"/>
  <c r="E10" i="58"/>
  <c r="D19" i="55"/>
  <c r="E6" i="40"/>
  <c r="B40" i="40"/>
  <c r="D30" i="55"/>
  <c r="B2" i="54"/>
  <c r="D23" i="50"/>
  <c r="E18" i="58"/>
  <c r="D42" i="60"/>
  <c r="E11" i="61"/>
  <c r="D36" i="54"/>
  <c r="D34" i="60"/>
  <c r="D12" i="56"/>
  <c r="F9" i="56"/>
  <c r="F9" i="52"/>
  <c r="E26" i="61"/>
  <c r="E18" i="55"/>
  <c r="D20" i="55"/>
  <c r="C22" i="40"/>
  <c r="C23" i="40"/>
  <c r="B2" i="50"/>
  <c r="D42" i="58"/>
  <c r="F10" i="60"/>
  <c r="E25" i="59"/>
  <c r="D25" i="50"/>
  <c r="F8" i="51"/>
  <c r="D10" i="60"/>
  <c r="F7" i="53"/>
  <c r="E22" i="54"/>
  <c r="B2" i="40"/>
  <c r="E25" i="50"/>
  <c r="C6" i="40"/>
  <c r="E12" i="40"/>
  <c r="D11" i="40"/>
  <c r="E26" i="59"/>
  <c r="D6" i="55"/>
  <c r="D27" i="54"/>
  <c r="E15" i="61"/>
  <c r="E35" i="59"/>
  <c r="D7" i="53"/>
  <c r="D12" i="57"/>
  <c r="E15" i="57"/>
  <c r="D27" i="57"/>
  <c r="E33" i="61"/>
  <c r="E9" i="50"/>
  <c r="D20" i="51"/>
  <c r="E15" i="52"/>
  <c r="B25" i="40"/>
  <c r="E40" i="54"/>
  <c r="D15" i="54"/>
  <c r="E19" i="61"/>
  <c r="E29" i="50"/>
  <c r="E16" i="54"/>
  <c r="E11" i="51"/>
  <c r="D20" i="57"/>
  <c r="D27" i="55"/>
  <c r="D13" i="60"/>
  <c r="E22" i="58"/>
  <c r="E29" i="60"/>
  <c r="F7" i="40"/>
  <c r="C18" i="40"/>
  <c r="E35" i="61"/>
  <c r="D6" i="57"/>
  <c r="B36" i="40"/>
  <c r="D12" i="52"/>
  <c r="D17" i="54"/>
  <c r="D13" i="53"/>
  <c r="D15" i="40"/>
  <c r="E21" i="40"/>
  <c r="D8" i="60"/>
  <c r="D10" i="54"/>
  <c r="D33" i="56"/>
  <c r="E39" i="52"/>
  <c r="D34" i="53"/>
  <c r="E22" i="56"/>
  <c r="E11" i="52"/>
  <c r="E7" i="56"/>
  <c r="B11" i="56" s="1"/>
  <c r="D40" i="56"/>
  <c r="E36" i="59"/>
  <c r="E5" i="51"/>
  <c r="C27" i="40"/>
  <c r="C32" i="40"/>
  <c r="C33" i="40"/>
  <c r="B2" i="57"/>
  <c r="E33" i="54"/>
  <c r="D39" i="61"/>
  <c r="E9" i="58"/>
  <c r="D7" i="52"/>
  <c r="D38" i="58"/>
  <c r="D24" i="54"/>
  <c r="F10" i="59"/>
  <c r="D19" i="58"/>
  <c r="E15" i="59"/>
  <c r="B2" i="58"/>
  <c r="D28" i="57"/>
  <c r="E4" i="40"/>
  <c r="B14" i="40"/>
  <c r="C5" i="40"/>
  <c r="E36" i="50"/>
  <c r="E37" i="61"/>
  <c r="D34" i="54"/>
  <c r="D37" i="60"/>
  <c r="D18" i="50"/>
  <c r="D35" i="58"/>
  <c r="E8" i="50"/>
  <c r="E36" i="54"/>
  <c r="E37" i="50"/>
  <c r="D36" i="56"/>
  <c r="D38" i="50"/>
  <c r="D39" i="40"/>
  <c r="E39" i="40"/>
  <c r="B26" i="40"/>
  <c r="C36" i="40"/>
  <c r="E24" i="54"/>
  <c r="E23" i="57"/>
  <c r="D34" i="56"/>
  <c r="E27" i="54"/>
  <c r="E22" i="61"/>
  <c r="E27" i="50"/>
  <c r="E19" i="60"/>
  <c r="E32" i="50"/>
  <c r="D26" i="52"/>
  <c r="D20" i="53"/>
  <c r="D8" i="59"/>
  <c r="D30" i="56"/>
  <c r="E16" i="40"/>
  <c r="E29" i="40"/>
  <c r="E18" i="52"/>
  <c r="E9" i="56"/>
  <c r="E38" i="55"/>
  <c r="D11" i="55"/>
  <c r="E12" i="60"/>
  <c r="F12" i="56"/>
  <c r="D29" i="60"/>
  <c r="F8" i="50"/>
  <c r="E19" i="59"/>
  <c r="E43" i="58"/>
  <c r="D24" i="59"/>
  <c r="E26" i="57"/>
  <c r="C29" i="40"/>
  <c r="B45" i="40"/>
  <c r="E28" i="40"/>
  <c r="D32" i="57"/>
  <c r="D26" i="61"/>
  <c r="E8" i="52"/>
  <c r="D40" i="53"/>
  <c r="D22" i="61"/>
  <c r="F8" i="60"/>
  <c r="F11" i="54"/>
  <c r="E29" i="52"/>
  <c r="E23" i="61"/>
  <c r="F12" i="54"/>
  <c r="D30" i="53"/>
  <c r="E26" i="58"/>
  <c r="C10" i="40"/>
  <c r="D19" i="40"/>
  <c r="B24" i="40"/>
  <c r="D23" i="58"/>
  <c r="E39" i="60"/>
  <c r="D5" i="61"/>
  <c r="E40" i="50"/>
  <c r="D34" i="50"/>
  <c r="E10" i="54"/>
  <c r="D37" i="51"/>
  <c r="D35" i="59"/>
  <c r="D7" i="59"/>
  <c r="D7" i="57"/>
  <c r="D35" i="57"/>
  <c r="D9" i="55"/>
  <c r="D32" i="58"/>
  <c r="E28" i="54"/>
  <c r="D24" i="52"/>
  <c r="D27" i="61"/>
  <c r="E37" i="56"/>
  <c r="C15" i="40"/>
  <c r="D43" i="58"/>
  <c r="D33" i="54"/>
  <c r="E9" i="61"/>
  <c r="D26" i="54"/>
  <c r="F11" i="40"/>
  <c r="D5" i="54"/>
  <c r="B22" i="40"/>
  <c r="D17" i="50"/>
  <c r="D23" i="51"/>
  <c r="D23" i="57"/>
  <c r="D26" i="51"/>
  <c r="E44" i="61"/>
  <c r="E19" i="57"/>
  <c r="E23" i="52"/>
  <c r="C37" i="40"/>
  <c r="E43" i="60"/>
  <c r="E16" i="55"/>
  <c r="D29" i="56"/>
  <c r="B31" i="40"/>
  <c r="B43" i="40"/>
  <c r="D29" i="55"/>
  <c r="E15" i="58"/>
  <c r="D34" i="58"/>
  <c r="D15" i="50"/>
  <c r="E38" i="51"/>
  <c r="D26" i="60"/>
  <c r="E40" i="51"/>
  <c r="D17" i="56"/>
  <c r="D27" i="50"/>
  <c r="E17" i="60"/>
  <c r="E27" i="40"/>
  <c r="D34" i="51"/>
  <c r="D12" i="40"/>
  <c r="D36" i="40"/>
  <c r="B30" i="40"/>
  <c r="E8" i="53"/>
  <c r="D28" i="51"/>
  <c r="E37" i="55"/>
  <c r="D12" i="61"/>
  <c r="E19" i="55"/>
  <c r="E4" i="54"/>
  <c r="E36" i="51"/>
  <c r="E25" i="51"/>
  <c r="F9" i="53"/>
  <c r="E23" i="54"/>
  <c r="D37" i="50"/>
  <c r="B35" i="40"/>
  <c r="B37" i="40"/>
  <c r="C7" i="40"/>
  <c r="D41" i="52"/>
  <c r="D29" i="61"/>
  <c r="D39" i="54"/>
  <c r="E8" i="51"/>
  <c r="F8" i="59"/>
  <c r="E26" i="56"/>
  <c r="F9" i="54"/>
  <c r="D9" i="57"/>
  <c r="E16" i="51"/>
  <c r="D41" i="54"/>
  <c r="E36" i="61"/>
  <c r="D17" i="40"/>
  <c r="D9" i="40"/>
  <c r="F8" i="40"/>
  <c r="D19" i="56"/>
  <c r="D18" i="58"/>
  <c r="D24" i="61"/>
  <c r="D32" i="59"/>
  <c r="E32" i="56"/>
  <c r="D25" i="58"/>
  <c r="D35" i="56"/>
  <c r="E10" i="60"/>
  <c r="E38" i="60"/>
  <c r="D35" i="52"/>
  <c r="E10" i="40"/>
  <c r="F10" i="53"/>
  <c r="D41" i="51"/>
  <c r="B38" i="40"/>
  <c r="B44" i="40"/>
  <c r="E25" i="52"/>
  <c r="E17" i="57"/>
  <c r="E19" i="50"/>
  <c r="E6" i="54"/>
  <c r="E17" i="54"/>
  <c r="E12" i="57"/>
  <c r="D44" i="51"/>
  <c r="D35" i="61"/>
  <c r="E24" i="52"/>
  <c r="E10" i="61"/>
  <c r="F12" i="40"/>
  <c r="D32" i="51"/>
  <c r="D13" i="40"/>
  <c r="D20" i="56"/>
  <c r="B32" i="40"/>
  <c r="D44" i="54"/>
  <c r="E8" i="56"/>
  <c r="D28" i="52"/>
  <c r="D6" i="60"/>
  <c r="D33" i="61"/>
  <c r="D40" i="52"/>
  <c r="D9" i="58"/>
  <c r="D16" i="60"/>
  <c r="E32" i="61"/>
  <c r="D36" i="52"/>
  <c r="C13" i="40"/>
  <c r="D25" i="52"/>
  <c r="C30" i="40"/>
  <c r="B9" i="40"/>
  <c r="D13" i="51"/>
  <c r="D27" i="60"/>
  <c r="E27" i="56"/>
  <c r="E10" i="56"/>
  <c r="E35" i="56"/>
  <c r="D30" i="58"/>
  <c r="D18" i="59"/>
  <c r="B2" i="60"/>
  <c r="D38" i="52"/>
  <c r="D7" i="51"/>
  <c r="F12" i="58"/>
  <c r="E32" i="52"/>
  <c r="E17" i="58"/>
  <c r="D22" i="55"/>
  <c r="D39" i="52"/>
  <c r="E33" i="55"/>
  <c r="E11" i="60"/>
  <c r="C25" i="40"/>
  <c r="E19" i="51"/>
  <c r="E37" i="52"/>
  <c r="D22" i="58"/>
  <c r="D33" i="40"/>
  <c r="D7" i="56"/>
  <c r="D29" i="57"/>
  <c r="D36" i="55"/>
  <c r="E29" i="56"/>
  <c r="E36" i="56"/>
  <c r="E32" i="58"/>
  <c r="D37" i="40"/>
  <c r="D40" i="57"/>
  <c r="D6" i="40"/>
  <c r="D17" i="57"/>
  <c r="D41" i="60"/>
  <c r="B2" i="52"/>
  <c r="D22" i="57"/>
  <c r="E28" i="56"/>
  <c r="D17" i="61"/>
  <c r="D22" i="59"/>
  <c r="F11" i="60"/>
  <c r="B21" i="40"/>
  <c r="B33" i="40"/>
  <c r="C20" i="40"/>
  <c r="E18" i="51"/>
  <c r="D28" i="55"/>
  <c r="E44" i="60"/>
  <c r="D9" i="54"/>
  <c r="D20" i="61"/>
  <c r="D10" i="55"/>
  <c r="F7" i="50"/>
  <c r="D38" i="53"/>
  <c r="E35" i="52"/>
  <c r="D27" i="53"/>
  <c r="E23" i="40"/>
  <c r="E34" i="58"/>
  <c r="C38" i="40"/>
  <c r="D20" i="52"/>
  <c r="C28" i="40"/>
  <c r="F12" i="53"/>
  <c r="D24" i="60"/>
  <c r="E25" i="58"/>
  <c r="D17" i="52"/>
  <c r="E39" i="56"/>
  <c r="E6" i="60"/>
  <c r="E26" i="54"/>
  <c r="D22" i="60"/>
  <c r="E22" i="50"/>
  <c r="B16" i="40"/>
  <c r="E25" i="57"/>
  <c r="B15" i="40"/>
  <c r="C39" i="40"/>
  <c r="E33" i="40"/>
  <c r="E11" i="40"/>
  <c r="D11" i="52"/>
  <c r="D44" i="58"/>
  <c r="F11" i="56"/>
  <c r="D8" i="53"/>
  <c r="E43" i="61"/>
  <c r="D28" i="59"/>
  <c r="D25" i="54"/>
  <c r="E38" i="61"/>
  <c r="C47" i="40"/>
  <c r="E28" i="51"/>
  <c r="D30" i="51"/>
  <c r="D34" i="40"/>
  <c r="E17" i="40"/>
  <c r="D33" i="58"/>
  <c r="D11" i="54"/>
  <c r="D10" i="56"/>
  <c r="E8" i="57"/>
  <c r="D40" i="51"/>
  <c r="E26" i="52"/>
  <c r="E7" i="60"/>
  <c r="B11" i="60" s="1"/>
  <c r="F12" i="59"/>
  <c r="D11" i="59"/>
  <c r="E9" i="60"/>
  <c r="B47" i="40"/>
  <c r="F10" i="61"/>
  <c r="B29" i="40"/>
  <c r="E15" i="40"/>
  <c r="B42" i="40"/>
  <c r="E16" i="50"/>
  <c r="E28" i="57"/>
  <c r="D33" i="55"/>
  <c r="E37" i="59"/>
  <c r="E40" i="57"/>
  <c r="E7" i="59"/>
  <c r="B11" i="59" s="1"/>
  <c r="F8" i="54"/>
  <c r="D44" i="52"/>
  <c r="F8" i="61"/>
  <c r="E32" i="54"/>
  <c r="D19" i="53"/>
  <c r="F9" i="61"/>
  <c r="D26" i="40"/>
  <c r="D8" i="40"/>
  <c r="B20" i="40"/>
  <c r="D5" i="56"/>
  <c r="D38" i="61"/>
  <c r="D40" i="61"/>
  <c r="E40" i="60"/>
  <c r="E12" i="54"/>
  <c r="E34" i="52"/>
  <c r="D23" i="59"/>
  <c r="E8" i="60"/>
  <c r="D7" i="54"/>
  <c r="D6" i="54"/>
  <c r="D24" i="51"/>
  <c r="D17" i="60"/>
  <c r="B28" i="40"/>
  <c r="C26" i="40"/>
  <c r="D24" i="40"/>
  <c r="E24" i="61"/>
  <c r="F12" i="57"/>
  <c r="E39" i="61"/>
  <c r="E37" i="60"/>
  <c r="D35" i="50"/>
  <c r="E38" i="50"/>
  <c r="D32" i="50"/>
  <c r="E34" i="56"/>
  <c r="E34" i="55"/>
  <c r="E22" i="57"/>
  <c r="E11" i="54"/>
  <c r="C41" i="40"/>
  <c r="D24" i="58"/>
  <c r="B19" i="40"/>
  <c r="D41" i="58"/>
  <c r="D29" i="50"/>
  <c r="F10" i="52"/>
  <c r="E37" i="58"/>
  <c r="E6" i="59"/>
  <c r="D8" i="55"/>
  <c r="F11" i="53"/>
  <c r="D5" i="60"/>
  <c r="E18" i="54"/>
  <c r="D30" i="60"/>
  <c r="D38" i="56"/>
  <c r="D25" i="51"/>
  <c r="D18" i="40"/>
  <c r="E11" i="55"/>
  <c r="D22" i="52"/>
  <c r="E22" i="40"/>
  <c r="D36" i="51"/>
  <c r="D33" i="60"/>
  <c r="B2" i="51"/>
  <c r="E33" i="57"/>
  <c r="D41" i="57"/>
  <c r="E27" i="51"/>
  <c r="E25" i="40"/>
  <c r="D40" i="40"/>
  <c r="D13" i="50"/>
  <c r="E33" i="58"/>
  <c r="E34" i="57"/>
  <c r="E15" i="50"/>
  <c r="E24" i="56"/>
  <c r="B2" i="61"/>
  <c r="E12" i="61"/>
  <c r="E27" i="60"/>
  <c r="E16" i="56"/>
  <c r="E40" i="52"/>
  <c r="D6" i="53"/>
  <c r="D30" i="50"/>
  <c r="E19" i="52"/>
  <c r="C24" i="40"/>
  <c r="D41" i="40"/>
  <c r="B12" i="40"/>
  <c r="E42" i="59"/>
  <c r="D9" i="61"/>
  <c r="D25" i="61"/>
  <c r="D35" i="54"/>
  <c r="D12" i="50"/>
  <c r="E16" i="61"/>
  <c r="D6" i="52"/>
  <c r="D8" i="50"/>
  <c r="E5" i="60"/>
  <c r="F10" i="40"/>
  <c r="D17" i="58"/>
  <c r="D29" i="51"/>
  <c r="E14" i="40"/>
  <c r="D5" i="40"/>
  <c r="D36" i="58"/>
  <c r="E33" i="50"/>
  <c r="E23" i="60"/>
  <c r="E9" i="54"/>
  <c r="D12" i="54"/>
  <c r="E19" i="54"/>
  <c r="E23" i="56"/>
  <c r="D44" i="60"/>
  <c r="D6" i="61"/>
  <c r="E37" i="57"/>
  <c r="C17" i="40"/>
  <c r="E4" i="60"/>
  <c r="D20" i="40"/>
  <c r="D30" i="40"/>
  <c r="D20" i="50"/>
  <c r="D13" i="61"/>
  <c r="D10" i="61"/>
  <c r="E15" i="54"/>
  <c r="E22" i="59"/>
  <c r="D27" i="58"/>
  <c r="D22" i="54"/>
  <c r="E12" i="55"/>
  <c r="D34" i="57"/>
  <c r="D28" i="50"/>
  <c r="D9" i="51"/>
  <c r="E34" i="61"/>
  <c r="D36" i="53"/>
  <c r="C40" i="40"/>
  <c r="D27" i="40"/>
  <c r="B5" i="40"/>
  <c r="E8" i="61"/>
  <c r="E15" i="60"/>
  <c r="D12" i="58"/>
  <c r="E9" i="55"/>
  <c r="D39" i="58"/>
  <c r="D20" i="59"/>
  <c r="E5" i="56"/>
  <c r="E18" i="60"/>
  <c r="E33" i="60"/>
  <c r="D28" i="58"/>
  <c r="C11" i="40"/>
  <c r="E24" i="60"/>
  <c r="D19" i="52"/>
  <c r="C34" i="40"/>
  <c r="D20" i="54"/>
  <c r="F8" i="56"/>
  <c r="E33" i="56"/>
  <c r="D15" i="52"/>
  <c r="E17" i="52"/>
  <c r="D18" i="60"/>
  <c r="D5" i="51"/>
  <c r="D7" i="60"/>
  <c r="D18" i="55"/>
  <c r="E35" i="51"/>
  <c r="E33" i="52"/>
  <c r="D37" i="54"/>
  <c r="F11" i="52"/>
  <c r="E26" i="40"/>
  <c r="D13" i="52"/>
  <c r="D44" i="40"/>
  <c r="B2" i="56"/>
  <c r="E17" i="55"/>
  <c r="F7" i="52"/>
  <c r="D18" i="51"/>
  <c r="D9" i="60"/>
  <c r="E27" i="61"/>
  <c r="E40" i="58"/>
  <c r="E16" i="52"/>
  <c r="D34" i="59"/>
  <c r="D9" i="50"/>
  <c r="E44" i="56"/>
  <c r="E44" i="53"/>
  <c r="E44" i="54"/>
  <c r="E44" i="51"/>
  <c r="D43" i="57"/>
  <c r="D43" i="56"/>
  <c r="D43" i="55"/>
  <c r="E43" i="54"/>
  <c r="D43" i="54"/>
  <c r="D43" i="53"/>
  <c r="D43" i="52"/>
  <c r="D43" i="51"/>
  <c r="D43" i="50"/>
  <c r="H40" i="1"/>
  <c r="D42" i="57"/>
  <c r="D42" i="56"/>
  <c r="D42" i="55"/>
  <c r="D42" i="54"/>
  <c r="D42" i="53"/>
  <c r="D42" i="52"/>
  <c r="N39" i="1"/>
  <c r="D42" i="51"/>
  <c r="D42" i="50"/>
  <c r="Q40" i="1"/>
  <c r="N41" i="1"/>
  <c r="W41" i="1"/>
  <c r="E41" i="1"/>
  <c r="E45" i="1"/>
  <c r="H41" i="1"/>
  <c r="AF39" i="1"/>
  <c r="C45" i="1"/>
  <c r="E43" i="40"/>
  <c r="E32" i="40"/>
  <c r="D42" i="40"/>
  <c r="D43" i="40"/>
  <c r="C43" i="40"/>
  <c r="C44" i="40"/>
  <c r="D32" i="40"/>
  <c r="C42" i="40"/>
  <c r="K19" i="1"/>
  <c r="Z39" i="1"/>
  <c r="H29" i="1"/>
  <c r="Q39" i="1"/>
  <c r="E39" i="1"/>
  <c r="N40" i="1"/>
  <c r="M12" i="1"/>
  <c r="H39" i="1"/>
  <c r="J19" i="1"/>
  <c r="N12" i="1"/>
  <c r="AI40" i="1"/>
  <c r="AL40" i="1"/>
  <c r="AO40" i="1"/>
  <c r="AF40" i="1"/>
  <c r="W39" i="1"/>
  <c r="T39" i="1"/>
  <c r="Z40" i="1"/>
  <c r="AC40" i="1"/>
  <c r="K39" i="1"/>
  <c r="AO41" i="1"/>
  <c r="AI41" i="1"/>
  <c r="AL41" i="1"/>
  <c r="G29" i="1"/>
  <c r="C42" i="1"/>
  <c r="K40" i="1"/>
  <c r="AC41" i="1"/>
  <c r="AC39" i="1"/>
  <c r="W40" i="1"/>
  <c r="AI39" i="1"/>
  <c r="AL39" i="1"/>
  <c r="AO39" i="1"/>
  <c r="E44" i="50" a="1"/>
  <c r="E44" i="57" a="1"/>
  <c r="E44" i="40" a="1"/>
  <c r="E42" i="52" a="1"/>
  <c r="E44" i="52" a="1"/>
  <c r="E43" i="52" a="1"/>
  <c r="E42" i="57" a="1"/>
  <c r="E42" i="54" a="1"/>
  <c r="E43" i="50" a="1"/>
  <c r="E44" i="55" a="1"/>
  <c r="C45" i="40" a="1"/>
  <c r="B52" i="40"/>
  <c r="E42" i="55" a="1"/>
  <c r="E43" i="55" a="1"/>
  <c r="E43" i="53" a="1"/>
  <c r="E43" i="57" a="1"/>
  <c r="E43" i="51" a="1"/>
  <c r="E42" i="53" a="1"/>
  <c r="E42" i="40" a="1"/>
  <c r="E42" i="56" a="1"/>
  <c r="E42" i="51" a="1"/>
  <c r="E42" i="50" a="1"/>
  <c r="E43" i="56" a="1"/>
  <c r="E44" i="55" l="1"/>
  <c r="E44" i="57"/>
  <c r="E44" i="50"/>
  <c r="E44" i="52"/>
  <c r="E43" i="57"/>
  <c r="E43" i="56"/>
  <c r="E43" i="55"/>
  <c r="E43" i="53"/>
  <c r="E43" i="52"/>
  <c r="E43" i="51"/>
  <c r="E43" i="50"/>
  <c r="E42" i="57"/>
  <c r="AB42" i="1"/>
  <c r="AC42" i="1" s="1"/>
  <c r="AC45" i="1"/>
  <c r="E42" i="56"/>
  <c r="Y42" i="1"/>
  <c r="Z42" i="1" s="1"/>
  <c r="Z45" i="1"/>
  <c r="E42" i="55"/>
  <c r="V42" i="1"/>
  <c r="V43" i="1" s="1"/>
  <c r="W45" i="1"/>
  <c r="E42" i="54"/>
  <c r="S42" i="1"/>
  <c r="S43" i="1" s="1"/>
  <c r="T45" i="1"/>
  <c r="E42" i="53"/>
  <c r="P42" i="1"/>
  <c r="Q45" i="1"/>
  <c r="E42" i="52"/>
  <c r="M42" i="1"/>
  <c r="N42" i="1" s="1"/>
  <c r="N45" i="1"/>
  <c r="E42" i="51"/>
  <c r="J42" i="1"/>
  <c r="K42" i="1" s="1"/>
  <c r="K45" i="1"/>
  <c r="E42" i="50"/>
  <c r="G42" i="1"/>
  <c r="H42" i="1" s="1"/>
  <c r="H45" i="1"/>
  <c r="E44" i="40"/>
  <c r="F4" i="28"/>
  <c r="F3" i="28"/>
  <c r="F7" i="28"/>
  <c r="F2" i="28"/>
  <c r="F6" i="28"/>
  <c r="F5" i="28"/>
  <c r="F9" i="28"/>
  <c r="F10" i="28"/>
  <c r="F11" i="28"/>
  <c r="F12" i="28"/>
  <c r="F8" i="28"/>
  <c r="F37" i="28"/>
  <c r="F33" i="28"/>
  <c r="F32" i="28"/>
  <c r="F36" i="28"/>
  <c r="F34" i="28"/>
  <c r="F35" i="28"/>
  <c r="F38" i="28"/>
  <c r="F42" i="28"/>
  <c r="F40" i="28"/>
  <c r="F39" i="28"/>
  <c r="F43" i="28"/>
  <c r="F41" i="28"/>
  <c r="F22" i="28"/>
  <c r="F21" i="28"/>
  <c r="F23" i="28"/>
  <c r="F20" i="28"/>
  <c r="F24" i="28"/>
  <c r="F25" i="28"/>
  <c r="F44" i="28"/>
  <c r="F46" i="28"/>
  <c r="F48" i="28"/>
  <c r="F49" i="28"/>
  <c r="F45" i="28"/>
  <c r="F47" i="28"/>
  <c r="F26" i="28"/>
  <c r="F28" i="28"/>
  <c r="F29" i="28"/>
  <c r="F31" i="28"/>
  <c r="F27" i="28"/>
  <c r="F30" i="28"/>
  <c r="F14" i="28"/>
  <c r="F16" i="28"/>
  <c r="F19" i="28"/>
  <c r="F18" i="28"/>
  <c r="F15" i="28"/>
  <c r="F17" i="28"/>
  <c r="D42" i="1"/>
  <c r="D43" i="1" s="1"/>
  <c r="F53" i="28"/>
  <c r="F50" i="28"/>
  <c r="F51" i="28"/>
  <c r="F55" i="28"/>
  <c r="F52" i="28"/>
  <c r="F54" i="28"/>
  <c r="E42" i="40"/>
  <c r="C45" i="40"/>
  <c r="K29" i="1"/>
  <c r="W42" i="1"/>
  <c r="P12" i="1"/>
  <c r="C43" i="1"/>
  <c r="Q12" i="1"/>
  <c r="M19" i="1"/>
  <c r="N19" i="1"/>
  <c r="J29" i="1"/>
  <c r="E45" i="52" a="1"/>
  <c r="B52" i="51"/>
  <c r="D46" i="40" a="1"/>
  <c r="D46" i="54" a="1"/>
  <c r="E45" i="50" a="1"/>
  <c r="E45" i="51" a="1"/>
  <c r="B52" i="57"/>
  <c r="C46" i="40" a="1"/>
  <c r="B52" i="55"/>
  <c r="D45" i="40" a="1"/>
  <c r="E45" i="56" a="1"/>
  <c r="D45" i="52" a="1"/>
  <c r="D45" i="55" a="1"/>
  <c r="E45" i="55" a="1"/>
  <c r="D46" i="55" a="1"/>
  <c r="D45" i="54" a="1"/>
  <c r="D45" i="56" a="1"/>
  <c r="B52" i="54"/>
  <c r="D45" i="53" a="1"/>
  <c r="B52" i="50"/>
  <c r="B52" i="52"/>
  <c r="B52" i="56"/>
  <c r="D45" i="57" a="1"/>
  <c r="D45" i="51" a="1"/>
  <c r="E45" i="57" a="1"/>
  <c r="D45" i="50" a="1"/>
  <c r="B52" i="53"/>
  <c r="AB43" i="1" l="1"/>
  <c r="Y43" i="1"/>
  <c r="G49" i="28" s="1"/>
  <c r="T42" i="1"/>
  <c r="M43" i="1"/>
  <c r="N43" i="1" s="1"/>
  <c r="J43" i="1"/>
  <c r="G18" i="28" s="1"/>
  <c r="E45" i="57"/>
  <c r="D45" i="57"/>
  <c r="E45" i="56"/>
  <c r="D45" i="56"/>
  <c r="D46" i="55"/>
  <c r="E45" i="55"/>
  <c r="D45" i="55"/>
  <c r="D46" i="54"/>
  <c r="D45" i="54"/>
  <c r="D45" i="53"/>
  <c r="Q42" i="1"/>
  <c r="P43" i="1"/>
  <c r="G31" i="28" s="1"/>
  <c r="E45" i="52"/>
  <c r="D45" i="52"/>
  <c r="E45" i="51"/>
  <c r="D45" i="51"/>
  <c r="J46" i="1"/>
  <c r="K46" i="1" s="1"/>
  <c r="K43" i="1"/>
  <c r="G19" i="28"/>
  <c r="E45" i="50"/>
  <c r="D45" i="50"/>
  <c r="G43" i="1"/>
  <c r="G46" i="1" s="1"/>
  <c r="H46" i="1" s="1"/>
  <c r="D46" i="1"/>
  <c r="W43" i="1"/>
  <c r="V46" i="1"/>
  <c r="W46" i="1" s="1"/>
  <c r="S46" i="1"/>
  <c r="T46" i="1" s="1"/>
  <c r="AB46" i="1"/>
  <c r="AC46" i="1" s="1"/>
  <c r="P46" i="1"/>
  <c r="Q46" i="1" s="1"/>
  <c r="Y46" i="1"/>
  <c r="Z46" i="1" s="1"/>
  <c r="G15" i="28"/>
  <c r="G14" i="28"/>
  <c r="D45" i="40"/>
  <c r="F79" i="28"/>
  <c r="F76" i="28"/>
  <c r="F74" i="28"/>
  <c r="F77" i="28"/>
  <c r="F78" i="28"/>
  <c r="F75" i="28"/>
  <c r="AN42" i="1"/>
  <c r="E42" i="1"/>
  <c r="F59" i="28"/>
  <c r="F60" i="28"/>
  <c r="F58" i="28"/>
  <c r="F56" i="28"/>
  <c r="F57" i="28"/>
  <c r="F61" i="28"/>
  <c r="AE42" i="1"/>
  <c r="F73" i="28"/>
  <c r="AK42" i="1"/>
  <c r="F70" i="28"/>
  <c r="F72" i="28"/>
  <c r="F69" i="28"/>
  <c r="F71" i="28"/>
  <c r="F68" i="28"/>
  <c r="F67" i="28"/>
  <c r="F66" i="28"/>
  <c r="AH42" i="1"/>
  <c r="F63" i="28"/>
  <c r="F64" i="28"/>
  <c r="F65" i="28"/>
  <c r="F62" i="28"/>
  <c r="E43" i="1"/>
  <c r="D46" i="40"/>
  <c r="C46" i="40"/>
  <c r="P19" i="1"/>
  <c r="M29" i="1"/>
  <c r="G53" i="28"/>
  <c r="G55" i="28"/>
  <c r="G54" i="28"/>
  <c r="G50" i="28"/>
  <c r="G52" i="28"/>
  <c r="G51" i="28"/>
  <c r="N29" i="1"/>
  <c r="G46" i="28"/>
  <c r="G45" i="28"/>
  <c r="G47" i="28"/>
  <c r="G44" i="28"/>
  <c r="G48" i="28"/>
  <c r="G41" i="28"/>
  <c r="G40" i="28"/>
  <c r="G38" i="28"/>
  <c r="G42" i="28"/>
  <c r="G39" i="28"/>
  <c r="G43" i="28"/>
  <c r="G6" i="28"/>
  <c r="G3" i="28"/>
  <c r="G2" i="28"/>
  <c r="G7" i="28"/>
  <c r="G5" i="28"/>
  <c r="G4" i="28"/>
  <c r="G37" i="28"/>
  <c r="G32" i="28"/>
  <c r="G36" i="28"/>
  <c r="G35" i="28"/>
  <c r="G34" i="28"/>
  <c r="G33" i="28"/>
  <c r="T12" i="1"/>
  <c r="S12" i="1"/>
  <c r="AC43" i="1"/>
  <c r="G27" i="28"/>
  <c r="G26" i="28"/>
  <c r="G28" i="28"/>
  <c r="Q19" i="1"/>
  <c r="Z43" i="1"/>
  <c r="T43" i="1"/>
  <c r="D2" i="17" a="1"/>
  <c r="E46" i="52" a="1"/>
  <c r="D7" i="17" a="1"/>
  <c r="D45" i="59" a="1"/>
  <c r="D12" i="17" a="1"/>
  <c r="D11" i="17" a="1"/>
  <c r="D10" i="17" a="1"/>
  <c r="D46" i="52" a="1"/>
  <c r="D46" i="51" a="1"/>
  <c r="E45" i="40" a="1"/>
  <c r="E46" i="57" a="1"/>
  <c r="E46" i="56" a="1"/>
  <c r="D45" i="60" a="1"/>
  <c r="D6" i="17" a="1"/>
  <c r="D46" i="53" a="1"/>
  <c r="D9" i="17" a="1"/>
  <c r="E46" i="51" a="1"/>
  <c r="D46" i="57" a="1"/>
  <c r="E46" i="54" a="1"/>
  <c r="E45" i="53" a="1"/>
  <c r="D13" i="17" a="1"/>
  <c r="D46" i="50" a="1"/>
  <c r="D8" i="17" a="1"/>
  <c r="E45" i="54" a="1"/>
  <c r="D46" i="56" a="1"/>
  <c r="D45" i="61" a="1"/>
  <c r="D14" i="17" a="1"/>
  <c r="D3" i="17" a="1"/>
  <c r="E46" i="40" a="1"/>
  <c r="D5" i="17" a="1"/>
  <c r="D4" i="17" a="1"/>
  <c r="D45" i="58" a="1"/>
  <c r="E46" i="55" a="1"/>
  <c r="D45" i="61" l="1"/>
  <c r="D45" i="60"/>
  <c r="D45" i="59"/>
  <c r="D45" i="58"/>
  <c r="G21" i="28"/>
  <c r="G24" i="28"/>
  <c r="G20" i="28"/>
  <c r="M46" i="1"/>
  <c r="N46" i="1" s="1"/>
  <c r="G23" i="28"/>
  <c r="G22" i="28"/>
  <c r="D46" i="57"/>
  <c r="G25" i="28"/>
  <c r="D46" i="56"/>
  <c r="E45" i="54"/>
  <c r="D46" i="52"/>
  <c r="D46" i="51"/>
  <c r="G17" i="28"/>
  <c r="G16" i="28"/>
  <c r="E46" i="57"/>
  <c r="E46" i="56"/>
  <c r="E46" i="55"/>
  <c r="E46" i="54"/>
  <c r="D46" i="53"/>
  <c r="E45" i="53"/>
  <c r="G30" i="28"/>
  <c r="G29" i="28"/>
  <c r="Q43" i="1"/>
  <c r="E46" i="52"/>
  <c r="E46" i="51"/>
  <c r="D46" i="50"/>
  <c r="G12" i="28"/>
  <c r="G13" i="28"/>
  <c r="H43" i="1"/>
  <c r="G11" i="28"/>
  <c r="G10" i="28"/>
  <c r="G8" i="28"/>
  <c r="G9" i="28"/>
  <c r="E46" i="40"/>
  <c r="E46" i="1"/>
  <c r="E45" i="40"/>
  <c r="AH43" i="1"/>
  <c r="AI42" i="1"/>
  <c r="AK43" i="1"/>
  <c r="AL42" i="1"/>
  <c r="AE43" i="1"/>
  <c r="AF42" i="1"/>
  <c r="AN43" i="1"/>
  <c r="AO42" i="1"/>
  <c r="W12" i="1"/>
  <c r="T19" i="1"/>
  <c r="P29" i="1"/>
  <c r="S19" i="1"/>
  <c r="V12" i="1"/>
  <c r="Q29" i="1"/>
  <c r="D4" i="17"/>
  <c r="E4" i="17" s="1" a="1"/>
  <c r="D2" i="17"/>
  <c r="E2" i="17" s="1" a="1"/>
  <c r="D7" i="17"/>
  <c r="E7" i="17" s="1" a="1"/>
  <c r="D3" i="17"/>
  <c r="E3" i="17" s="1" a="1"/>
  <c r="D6" i="17"/>
  <c r="E6" i="17" s="1" a="1"/>
  <c r="D11" i="17"/>
  <c r="E11" i="17" s="1" a="1"/>
  <c r="D10" i="17"/>
  <c r="E10" i="17" s="1" a="1"/>
  <c r="D12" i="17"/>
  <c r="E12" i="17" s="1" a="1"/>
  <c r="D14" i="17"/>
  <c r="E14" i="17" s="1" a="1"/>
  <c r="D13" i="17"/>
  <c r="E13" i="17" s="1" a="1"/>
  <c r="D9" i="17"/>
  <c r="E9" i="17" s="1" a="1"/>
  <c r="D8" i="17"/>
  <c r="E8" i="17" s="1" a="1"/>
  <c r="D5" i="17"/>
  <c r="E5" i="17" s="1" a="1"/>
  <c r="E45" i="60" a="1"/>
  <c r="D46" i="58" a="1"/>
  <c r="E46" i="50" a="1"/>
  <c r="E45" i="61" a="1"/>
  <c r="D46" i="61" a="1"/>
  <c r="E45" i="59" a="1"/>
  <c r="D46" i="59" a="1"/>
  <c r="E45" i="58" a="1"/>
  <c r="E46" i="53" a="1"/>
  <c r="D46" i="60" a="1"/>
  <c r="D46" i="61" l="1"/>
  <c r="E45" i="61"/>
  <c r="E45" i="60"/>
  <c r="D46" i="60"/>
  <c r="E45" i="59"/>
  <c r="D46" i="59"/>
  <c r="E45" i="58"/>
  <c r="D46" i="58"/>
  <c r="E46" i="53"/>
  <c r="E46" i="50"/>
  <c r="AE46" i="1"/>
  <c r="AF46" i="1" s="1"/>
  <c r="G57" i="28"/>
  <c r="G60" i="28"/>
  <c r="AF43" i="1"/>
  <c r="G61" i="28"/>
  <c r="G58" i="28"/>
  <c r="G59" i="28"/>
  <c r="G56" i="28"/>
  <c r="AK46" i="1"/>
  <c r="AL46" i="1" s="1"/>
  <c r="G73" i="28"/>
  <c r="G69" i="28"/>
  <c r="G71" i="28"/>
  <c r="G70" i="28"/>
  <c r="G72" i="28"/>
  <c r="G68" i="28"/>
  <c r="AL43" i="1"/>
  <c r="AH46" i="1"/>
  <c r="AI46" i="1" s="1"/>
  <c r="G63" i="28"/>
  <c r="G67" i="28"/>
  <c r="G65" i="28"/>
  <c r="G64" i="28"/>
  <c r="G66" i="28"/>
  <c r="G62" i="28"/>
  <c r="AI43" i="1"/>
  <c r="AN46" i="1"/>
  <c r="AO46" i="1" s="1"/>
  <c r="G74" i="28"/>
  <c r="G78" i="28"/>
  <c r="G76" i="28"/>
  <c r="G79" i="28"/>
  <c r="G75" i="28"/>
  <c r="G77" i="28"/>
  <c r="AO43" i="1"/>
  <c r="T29" i="1"/>
  <c r="Y12" i="1"/>
  <c r="V19" i="1"/>
  <c r="S29" i="1"/>
  <c r="W19" i="1"/>
  <c r="Z12" i="1"/>
  <c r="E13" i="17"/>
  <c r="E14" i="17"/>
  <c r="E12" i="17"/>
  <c r="E11" i="17"/>
  <c r="E5" i="17"/>
  <c r="E6" i="17"/>
  <c r="E9" i="17"/>
  <c r="E3" i="17"/>
  <c r="E7" i="17"/>
  <c r="E8" i="17"/>
  <c r="E10" i="17"/>
  <c r="E2" i="17"/>
  <c r="E4" i="17"/>
  <c r="E46" i="58" a="1"/>
  <c r="E46" i="60" a="1"/>
  <c r="E46" i="61" a="1"/>
  <c r="E46" i="59" a="1"/>
  <c r="E46" i="61" l="1"/>
  <c r="E46" i="60"/>
  <c r="E46" i="59"/>
  <c r="E46" i="58"/>
  <c r="AB12" i="1"/>
  <c r="AC12" i="1"/>
  <c r="Z19" i="1"/>
  <c r="V29" i="1"/>
  <c r="W29" i="1"/>
  <c r="Y19" i="1"/>
  <c r="AN44" i="1"/>
  <c r="AO44" i="1" s="1"/>
  <c r="AH44" i="1"/>
  <c r="AI44" i="1" s="1"/>
  <c r="AK44" i="1"/>
  <c r="AL44" i="1" s="1"/>
  <c r="F12" i="17"/>
  <c r="F11" i="17"/>
  <c r="F14" i="17"/>
  <c r="F13" i="17"/>
  <c r="F10" i="17"/>
  <c r="V44" i="1"/>
  <c r="F6" i="17"/>
  <c r="F2" i="17"/>
  <c r="F8" i="17"/>
  <c r="F7" i="17"/>
  <c r="F5" i="17"/>
  <c r="F9" i="17"/>
  <c r="G44" i="1"/>
  <c r="F3" i="17"/>
  <c r="F4" i="17"/>
  <c r="D44" i="1"/>
  <c r="M44" i="1"/>
  <c r="S44" i="1"/>
  <c r="T44" i="1" s="1"/>
  <c r="AB44" i="1"/>
  <c r="J44" i="1"/>
  <c r="AE44" i="1"/>
  <c r="AF44" i="1" s="1"/>
  <c r="Y44" i="1"/>
  <c r="P44" i="1"/>
  <c r="D47" i="54" a="1"/>
  <c r="D47" i="61" a="1"/>
  <c r="D47" i="40" a="1"/>
  <c r="D47" i="51" a="1"/>
  <c r="D47" i="52" a="1"/>
  <c r="D47" i="58" a="1"/>
  <c r="D47" i="57" a="1"/>
  <c r="D47" i="60" a="1"/>
  <c r="D47" i="56" a="1"/>
  <c r="D47" i="59" a="1"/>
  <c r="D47" i="55" a="1"/>
  <c r="D47" i="50" a="1"/>
  <c r="D47" i="58" l="1"/>
  <c r="D47" i="60"/>
  <c r="D47" i="61"/>
  <c r="D47" i="57"/>
  <c r="D47" i="59"/>
  <c r="D47" i="55"/>
  <c r="D47" i="56"/>
  <c r="D47" i="54"/>
  <c r="D47" i="51"/>
  <c r="D47" i="52"/>
  <c r="D47" i="50"/>
  <c r="AF12" i="1"/>
  <c r="AE12" i="1"/>
  <c r="AB19" i="1"/>
  <c r="Y29" i="1"/>
  <c r="Z29" i="1"/>
  <c r="AC19" i="1"/>
  <c r="K44" i="1"/>
  <c r="D47" i="40"/>
  <c r="H44" i="1"/>
  <c r="E44" i="1"/>
  <c r="W44" i="1"/>
  <c r="N44" i="1"/>
  <c r="Z44" i="1"/>
  <c r="AC44" i="1"/>
  <c r="Q44" i="1"/>
  <c r="E47" i="54" a="1"/>
  <c r="E47" i="40" a="1"/>
  <c r="E47" i="61" a="1"/>
  <c r="E47" i="56" a="1"/>
  <c r="E47" i="58" a="1"/>
  <c r="E47" i="57" a="1"/>
  <c r="E47" i="53" a="1"/>
  <c r="E47" i="60" a="1"/>
  <c r="E47" i="50" a="1"/>
  <c r="E47" i="51" a="1"/>
  <c r="E47" i="55" a="1"/>
  <c r="D47" i="53" a="1"/>
  <c r="E47" i="52" a="1"/>
  <c r="E47" i="59" a="1"/>
  <c r="D47" i="53" l="1"/>
  <c r="E47" i="59"/>
  <c r="E47" i="60"/>
  <c r="E47" i="61"/>
  <c r="E47" i="58"/>
  <c r="E47" i="57"/>
  <c r="E47" i="54"/>
  <c r="E47" i="53"/>
  <c r="E47" i="55"/>
  <c r="E47" i="56"/>
  <c r="E47" i="52"/>
  <c r="E47" i="51"/>
  <c r="E47" i="50"/>
  <c r="AH12" i="1"/>
  <c r="AK12" i="1" s="1"/>
  <c r="AN12" i="1" s="1"/>
  <c r="AI12" i="1"/>
  <c r="AL12" i="1" s="1"/>
  <c r="AO12" i="1" s="1"/>
  <c r="AF19" i="1"/>
  <c r="AC29" i="1"/>
  <c r="AB29" i="1"/>
  <c r="AE19" i="1"/>
  <c r="E47" i="40"/>
  <c r="AH19" i="1" l="1"/>
  <c r="AK19" i="1" s="1"/>
  <c r="AN19" i="1" s="1"/>
  <c r="AF29" i="1"/>
  <c r="AE29" i="1"/>
  <c r="AI19" i="1"/>
  <c r="AL19" i="1" s="1"/>
  <c r="AO19" i="1" s="1"/>
  <c r="AI29" i="1" l="1"/>
  <c r="AL29" i="1" s="1"/>
  <c r="AO29" i="1" s="1"/>
  <c r="AH29" i="1"/>
  <c r="AK29" i="1" s="1"/>
  <c r="AN29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<sst xmlns="http://schemas.openxmlformats.org/spreadsheetml/2006/main" count="316" uniqueCount="96">
  <si>
    <r>
      <rPr>
        <b/>
        <sz val="12"/>
        <color theme="1"/>
        <rFont val="Calibri"/>
        <family val="2"/>
        <scheme val="minor"/>
      </rPr>
      <t>Forschungsgegenstand</t>
    </r>
    <r>
      <rPr>
        <sz val="12"/>
        <color theme="1"/>
        <rFont val="Calibri"/>
        <family val="2"/>
        <scheme val="minor"/>
      </rPr>
      <t xml:space="preserve">
- Zielausgestaltung (0,2P)
- Fragestellung (0,4P)
- Hypothesen (0,4P)</t>
    </r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</si>
  <si>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Inhaltlicher Zusammenhang (0,2P)
- Vorgehensweise (0,2P)
- Motivation des Themas (0,1P)</t>
    </r>
  </si>
  <si>
    <t>Zwischensumme Exposé</t>
  </si>
  <si>
    <t>Punkte</t>
  </si>
  <si>
    <r>
      <rPr>
        <b/>
        <sz val="12"/>
        <color theme="1"/>
        <rFont val="Calibri"/>
        <family val="2"/>
        <scheme val="minor"/>
      </rPr>
      <t>Formalia (Zwischenabgabe)</t>
    </r>
    <r>
      <rPr>
        <sz val="12"/>
        <color theme="1"/>
        <rFont val="Calibri"/>
        <family val="2"/>
        <scheme val="minor"/>
      </rPr>
      <t xml:space="preserve">
- Analytische Ausarbeitung (0,5P)
    + Übersichtlichkeit
    + Nachvollziehbarkeit aller Rechnungen
- Schriftliche Ausarbeitung (0,5P)
    + Formatierung des Dokuments
    + Zitation wissenschaftlicher Quellen</t>
    </r>
  </si>
  <si>
    <t>Bewertung</t>
  </si>
  <si>
    <t>Kommentar</t>
  </si>
  <si>
    <r>
      <rPr>
        <b/>
        <sz val="12"/>
        <color theme="1"/>
        <rFont val="Calibri"/>
        <family val="2"/>
        <scheme val="minor"/>
      </rPr>
      <t>Ergänzende Berechnung</t>
    </r>
    <r>
      <rPr>
        <sz val="12"/>
        <color theme="1"/>
        <rFont val="Calibri"/>
        <family val="2"/>
        <scheme val="minor"/>
      </rPr>
      <t xml:space="preserve">
- Ergänzende Berechnung, Interpretation und Einordnung in den Sachkontext (min.) eines weiteren Zusammenhangsmaßes oder Konzentrationsmaßes</t>
    </r>
  </si>
  <si>
    <t>Zwischensumme Zwischenabgabe</t>
  </si>
  <si>
    <t>Exposé</t>
  </si>
  <si>
    <t>Zwischenabgabe</t>
  </si>
  <si>
    <t>Endabgabe</t>
  </si>
  <si>
    <t>Korrektor</t>
  </si>
  <si>
    <t>Oranisatorisches</t>
  </si>
  <si>
    <t>Name</t>
  </si>
  <si>
    <t>Prof. Dr. Benjamin Buchwitz</t>
  </si>
  <si>
    <t>Kontaktmöglichkeit</t>
  </si>
  <si>
    <t>buchwitz.benjamin@fh-swf.de</t>
  </si>
  <si>
    <t>Gruppe</t>
  </si>
  <si>
    <t>Matrikelnr.</t>
  </si>
  <si>
    <t>Ziel des Exposés:</t>
  </si>
  <si>
    <t>Ziel der Zwischenabgabe:</t>
  </si>
  <si>
    <r>
      <rPr>
        <b/>
        <sz val="12"/>
        <color theme="1"/>
        <rFont val="Calibri"/>
        <family val="2"/>
        <scheme val="minor"/>
      </rPr>
      <t xml:space="preserve">Verbesserung der Deskriptiven Statistik </t>
    </r>
    <r>
      <rPr>
        <sz val="12"/>
        <color theme="1"/>
        <rFont val="Calibri"/>
        <family val="2"/>
        <scheme val="minor"/>
      </rPr>
      <t>hinsichtlich Korrektheit, Vollständigkeit, Beschreibung und Einordnung in den Sachkontext
- Lagemaße (0,5P)
- Streuungsmaße (0,5P)
- Ergänzende Maße (0,5P)
- Zusammenhangsmaße (0,5P)</t>
    </r>
  </si>
  <si>
    <t>Fokus &amp; Korrekturhinweise</t>
  </si>
  <si>
    <t>Zwischensumme Endabgabe</t>
  </si>
  <si>
    <r>
      <rPr>
        <b/>
        <sz val="12"/>
        <color theme="1"/>
        <rFont val="Calibri"/>
        <family val="2"/>
        <scheme val="minor"/>
      </rPr>
      <t>Inferenzstatistik: Freie Methodenwahl</t>
    </r>
    <r>
      <rPr>
        <sz val="12"/>
        <color theme="1"/>
        <rFont val="Calibri"/>
        <family val="2"/>
        <scheme val="minor"/>
      </rPr>
      <t xml:space="preserve">
- Inhaltlich begründete Methodenauswahl (1P)
- Voraussetzungen erfüllt (0,5P)
- Fehlerfreie Berechnungen (0,5P)
- Korrekte Testanwendung (0,5P)
- Statistische Interpretation und Einordnung in Sachkontext (1P)</t>
    </r>
  </si>
  <si>
    <r>
      <rPr>
        <b/>
        <sz val="12"/>
        <color theme="1"/>
        <rFont val="Calibri"/>
        <family val="2"/>
        <scheme val="minor"/>
      </rPr>
      <t>Zielerreichung</t>
    </r>
    <r>
      <rPr>
        <sz val="12"/>
        <color theme="1"/>
        <rFont val="Calibri"/>
        <family val="2"/>
        <scheme val="minor"/>
      </rPr>
      <t xml:space="preserve">
- Antwort auf die gestellte Forschungsfrage
- Zusammenfassung der Ergebnisse
- Kritische Würdigung des eigenen Vorgehens</t>
    </r>
  </si>
  <si>
    <t>Abschließende Bewertung</t>
  </si>
  <si>
    <r>
      <rPr>
        <b/>
        <sz val="12"/>
        <color theme="1"/>
        <rFont val="Calibri"/>
        <family val="2"/>
        <scheme val="minor"/>
      </rPr>
      <t>Argumentationsfluss &amp; Gesamteindruck</t>
    </r>
    <r>
      <rPr>
        <sz val="12"/>
        <color theme="1"/>
        <rFont val="Calibri"/>
        <family val="2"/>
        <scheme val="minor"/>
      </rPr>
      <t xml:space="preserve">
- Inhaltlicher Aufbau
- Verknüpfung der Fragestellung mit der Anwendung der inhaltlichen Methoden
- Verknüpfung deskriptiver und analytischer Statistik
- </t>
    </r>
    <r>
      <rPr>
        <u/>
        <sz val="12"/>
        <color theme="1"/>
        <rFont val="Calibri (Textkörper)"/>
      </rPr>
      <t>Keine</t>
    </r>
    <r>
      <rPr>
        <sz val="12"/>
        <color theme="1"/>
        <rFont val="Calibri"/>
        <family val="2"/>
        <scheme val="minor"/>
      </rPr>
      <t xml:space="preserve"> rezeptartige Beschreibung von Rechenwegen</t>
    </r>
  </si>
  <si>
    <r>
      <rPr>
        <b/>
        <sz val="12"/>
        <color theme="1"/>
        <rFont val="Calibri"/>
        <family val="2"/>
        <scheme val="minor"/>
      </rPr>
      <t>Inferenzstatistik: Zusammenhangsanalyse</t>
    </r>
    <r>
      <rPr>
        <sz val="12"/>
        <color theme="1"/>
        <rFont val="Calibri"/>
        <family val="2"/>
        <scheme val="minor"/>
      </rPr>
      <t xml:space="preserve">
- Variablen- und Methodenauswahl kongruent (1P)
- Voraussetzungen erfüllt (0,5P)
- Fehlerfreie Berechnungen (0,5P)
- Korrekte Testanwendung (0,5P)
- Statistische Interpretation und Einordnung in Sachkontext (1P)</t>
    </r>
  </si>
  <si>
    <t>Verbesserungsmöglichkeiten
für die Endabgabe</t>
  </si>
  <si>
    <t>Verbesserungsmöglichkeiten
für die Zwischenabgabe</t>
  </si>
  <si>
    <r>
      <rPr>
        <b/>
        <sz val="12"/>
        <color theme="1"/>
        <rFont val="Calibri"/>
        <family val="2"/>
        <scheme val="minor"/>
      </rPr>
      <t>Zusammenhangsmaße</t>
    </r>
    <r>
      <rPr>
        <sz val="12"/>
        <color theme="1"/>
        <rFont val="Calibri"/>
        <family val="2"/>
        <scheme val="minor"/>
      </rPr>
      <t xml:space="preserve">
- Berechnung, Interpretation und Einordnung in den Sachkontext von (min.) einem Zusammenhangsmaß</t>
    </r>
  </si>
  <si>
    <t>D</t>
  </si>
  <si>
    <t>E</t>
  </si>
  <si>
    <t>G</t>
  </si>
  <si>
    <t>H</t>
  </si>
  <si>
    <t>J</t>
  </si>
  <si>
    <t>K</t>
  </si>
  <si>
    <t>M</t>
  </si>
  <si>
    <t>N</t>
  </si>
  <si>
    <t>P</t>
  </si>
  <si>
    <t>Q</t>
  </si>
  <si>
    <t>S</t>
  </si>
  <si>
    <t>T</t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</si>
  <si>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Zweckmäßiger Methodeneinsatz (1P)
- Zielgerichtete Argumentation (1P)</t>
    </r>
  </si>
  <si>
    <r>
      <rPr>
        <b/>
        <sz val="12"/>
        <color theme="1"/>
        <rFont val="Calibri"/>
        <family val="2"/>
        <scheme val="minor"/>
      </rPr>
      <t>Lage- &amp; Streuungsmaße</t>
    </r>
    <r>
      <rPr>
        <sz val="12"/>
        <color theme="1"/>
        <rFont val="Calibri"/>
        <family val="2"/>
        <scheme val="minor"/>
      </rPr>
      <t xml:space="preserve">
- Deskriptive Statistik für </t>
    </r>
    <r>
      <rPr>
        <u/>
        <sz val="12"/>
        <color theme="1"/>
        <rFont val="Calibri (Textkörper)"/>
      </rPr>
      <t>alle</t>
    </r>
    <r>
      <rPr>
        <sz val="12"/>
        <color theme="1"/>
        <rFont val="Calibri"/>
        <family val="2"/>
        <scheme val="minor"/>
      </rPr>
      <t xml:space="preserve"> verwendeten Variablen
- Berechnung, Interpretation und Einordnung in den Sachkontext</t>
    </r>
  </si>
  <si>
    <t>Schlussfazit</t>
  </si>
  <si>
    <t>Vorstellung des Datensatzes und Vorbereitung der inferenzstatistischen Analyseverfahren</t>
  </si>
  <si>
    <t>Endpunktzahl (rechnerisch)</t>
  </si>
  <si>
    <t>Endergebnis (gerundet)</t>
  </si>
  <si>
    <t>0-1 (A-E)</t>
  </si>
  <si>
    <t>Spalte1</t>
  </si>
  <si>
    <t>Spalte2</t>
  </si>
  <si>
    <t>V</t>
  </si>
  <si>
    <t>W</t>
  </si>
  <si>
    <t>Y</t>
  </si>
  <si>
    <t>Z</t>
  </si>
  <si>
    <t>AB</t>
  </si>
  <si>
    <t>AC</t>
  </si>
  <si>
    <t>Quantil</t>
  </si>
  <si>
    <t>Einarbeitung in den Sachkontext und Genese einer zum Datensatz passenden Forschungsfrage</t>
  </si>
  <si>
    <t>C</t>
  </si>
  <si>
    <t>A</t>
  </si>
  <si>
    <t>Beantwortung der Forschungsfrage unter Nutzung inferenzstatistischer Verfahren und Finalisierung der Arbeit</t>
  </si>
  <si>
    <t>Ziel der Endabgabe:</t>
  </si>
  <si>
    <t>Bei linearer Regression ist die reine Aufstellung der Geradengleichung ungenügend. Ziel ist die inferenzstatistische Argumentation mit den Regressionsparametern (Signifikanz &amp; Effektgröße) und deren Einordnung in den Sachkontext.</t>
  </si>
  <si>
    <t>Organisatorisches</t>
  </si>
  <si>
    <r>
      <rPr>
        <b/>
        <sz val="12"/>
        <color theme="1"/>
        <rFont val="Calibri"/>
        <family val="2"/>
        <scheme val="minor"/>
      </rPr>
      <t>Diagramme</t>
    </r>
    <r>
      <rPr>
        <sz val="12"/>
        <color theme="1"/>
        <rFont val="Calibri"/>
        <family val="2"/>
        <scheme val="minor"/>
      </rPr>
      <t xml:space="preserve">
- Sinnvoll unterstützender / ergänzender Einsatz einer grafischen Aufbereitung der Daten (0,5P)
- Ergänzende Darstellung eines weiteren, </t>
    </r>
    <r>
      <rPr>
        <u/>
        <sz val="12"/>
        <color theme="1"/>
        <rFont val="Calibri (Textkörper)"/>
      </rPr>
      <t>andersartigen</t>
    </r>
    <r>
      <rPr>
        <sz val="12"/>
        <color theme="1"/>
        <rFont val="Calibri"/>
        <family val="2"/>
        <scheme val="minor"/>
      </rPr>
      <t xml:space="preserve"> Diagrammes (0,5P)</t>
    </r>
  </si>
  <si>
    <t>Hinweis:</t>
  </si>
  <si>
    <t>Bestanden</t>
  </si>
  <si>
    <t>Aktiv</t>
  </si>
  <si>
    <t xml:space="preserve"> </t>
  </si>
  <si>
    <t>AE</t>
  </si>
  <si>
    <t>AF</t>
  </si>
  <si>
    <t>AH</t>
  </si>
  <si>
    <t>AJ</t>
  </si>
  <si>
    <t>AL</t>
  </si>
  <si>
    <t>AM</t>
  </si>
  <si>
    <t>AO</t>
  </si>
  <si>
    <t>AP</t>
  </si>
  <si>
    <t>Auswahlliste</t>
  </si>
  <si>
    <t>Datum</t>
  </si>
  <si>
    <t>Kommunikationsverantwortlicher Autor:</t>
  </si>
  <si>
    <t>Quantil (ECTS-Grad) [nur Korrektor]</t>
  </si>
  <si>
    <t>Startspalte:</t>
  </si>
  <si>
    <t>Punkte (Gruppenarbeit)</t>
  </si>
  <si>
    <t>Vorleistung</t>
  </si>
  <si>
    <t>Vorleistung (50% der Punkte nach Zwischenabgabe)</t>
  </si>
  <si>
    <r>
      <rPr>
        <b/>
        <sz val="12"/>
        <color theme="1"/>
        <rFont val="Calibri"/>
        <family val="2"/>
        <scheme val="minor"/>
      </rPr>
      <t>Formalia (Endabgabe)</t>
    </r>
    <r>
      <rPr>
        <sz val="12"/>
        <color theme="1"/>
        <rFont val="Calibri"/>
        <family val="2"/>
        <scheme val="minor"/>
      </rPr>
      <t xml:space="preserve">
- Nutzung des bereitgestellten Templates (fhswf R-Package) und angemessene wissenschaftliche Gestaltung des finalen Dokumentes unter Verwendung der im Template enthaltenen Checkliste
- Abgabe ist vollständig reproduzierbar (Alle Dateien wurden eingereicht: PDF, Rmd, etc)</t>
    </r>
  </si>
  <si>
    <r>
      <rPr>
        <b/>
        <sz val="12"/>
        <color theme="1"/>
        <rFont val="Calibri"/>
        <family val="2"/>
        <scheme val="minor"/>
      </rPr>
      <t>Analytische Qualität</t>
    </r>
    <r>
      <rPr>
        <sz val="12"/>
        <color theme="1"/>
        <rFont val="Calibri"/>
        <family val="2"/>
        <scheme val="minor"/>
      </rPr>
      <t xml:space="preserve">
- Übersichtlichkeit der Analyse (R Datei)
- Nachvollziehbarkeit aller Rechnungen
- Vollständigkeit</t>
    </r>
  </si>
  <si>
    <t>Laufende Nummer</t>
  </si>
  <si>
    <t>Bestehensgrenze Vorleistung</t>
  </si>
  <si>
    <t>Bestehensgrenze Gruppenarbeit</t>
  </si>
  <si>
    <r>
      <rPr>
        <b/>
        <sz val="10"/>
        <color theme="1"/>
        <rFont val="Calibri (Textkörper)"/>
      </rPr>
      <t>Hinweis:</t>
    </r>
    <r>
      <rPr>
        <sz val="10"/>
        <color theme="1"/>
        <rFont val="Calibri (Textkörper)"/>
      </rPr>
      <t xml:space="preserve"> Das Bestehen der Vorleistung ist Bedingung für die Zulassung zur Prüfung. Endpunktzahl (rechnerisch) und Endergebnis (gerundet) werden erst nach bestandener Vorleistung angezeigt.</t>
    </r>
  </si>
  <si>
    <r>
      <rPr>
        <b/>
        <sz val="12"/>
        <color theme="1"/>
        <rFont val="Calibri"/>
        <family val="2"/>
        <scheme val="minor"/>
      </rPr>
      <t>Formalia (Exposé)</t>
    </r>
    <r>
      <rPr>
        <sz val="12"/>
        <color theme="1"/>
        <rFont val="Calibri"/>
        <family val="2"/>
        <scheme val="minor"/>
      </rPr>
      <t xml:space="preserve">
- Template Nutzung &amp; Formatierung (0,3P)
- Schreibstil &amp; Rechtschreibung (0,2P)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</si>
</sst>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7]d/\ mmmm\ yyyy;@"/>
    <numFmt numFmtId="165" formatCode="#\ &quot;Punkte&quot;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 (Textkörper)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Calibri (Textkörper)"/>
    </font>
    <font>
      <sz val="12"/>
      <color theme="1"/>
      <name val="Calibri (Textkörper)"/>
    </font>
    <font>
      <b/>
      <sz val="12"/>
      <color theme="0"/>
      <name val="Calibri (Textkörper)"/>
    </font>
    <font>
      <b/>
      <sz val="12"/>
      <color theme="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0"/>
      <color theme="1"/>
      <name val="Calibri (Textkörper)"/>
    </font>
    <font>
      <sz val="10"/>
      <color theme="1"/>
      <name val="Calibri (Textkörper)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2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 applyBorder="1" applyAlignment="1">
      <alignment wrapText="1"/>
    </xf>
    <xf numFmtId="0" fontId="0" fillId="0" borderId="0" xfId="0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 wrapText="1"/>
    </xf>
    <xf numFmtId="49" fontId="2" fillId="0" borderId="0" xfId="0" applyNumberFormat="1" applyFont="1" applyAlignment="1">
      <alignment vertical="center" wrapText="1"/>
    </xf>
    <xf numFmtId="0" fontId="0" fillId="0" borderId="0" xfId="0" applyFill="1"/>
    <xf numFmtId="0" fontId="2" fillId="0" borderId="0" xfId="0" applyFont="1"/>
    <xf numFmtId="49" fontId="2" fillId="0" borderId="0" xfId="0" applyNumberFormat="1" applyFont="1" applyFill="1" applyAlignment="1">
      <alignment wrapText="1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/>
    <xf numFmtId="0" fontId="5" fillId="0" borderId="0" xfId="0" applyFont="1" applyFill="1"/>
    <xf numFmtId="0" fontId="2" fillId="0" borderId="0" xfId="0" applyFont="1" applyFill="1"/>
    <xf numFmtId="0" fontId="0" fillId="0" borderId="0" xfId="0" applyFont="1"/>
    <xf numFmtId="0" fontId="7" fillId="0" borderId="0" xfId="0" applyFont="1" applyFill="1"/>
    <xf numFmtId="49" fontId="6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center" vertical="center"/>
    </xf>
    <xf numFmtId="49" fontId="2" fillId="3" borderId="0" xfId="0" applyNumberFormat="1" applyFont="1" applyFill="1" applyAlignment="1">
      <alignment wrapText="1"/>
    </xf>
    <xf numFmtId="0" fontId="2" fillId="3" borderId="0" xfId="0" applyFont="1" applyFill="1"/>
    <xf numFmtId="49" fontId="2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left" vertical="center"/>
    </xf>
    <xf numFmtId="49" fontId="2" fillId="0" borderId="0" xfId="0" applyNumberFormat="1" applyFont="1" applyFill="1" applyAlignment="1">
      <alignment horizontal="left" wrapText="1"/>
    </xf>
    <xf numFmtId="49" fontId="0" fillId="0" borderId="0" xfId="0" applyNumberFormat="1" applyAlignment="1">
      <alignment horizontal="left" wrapText="1"/>
    </xf>
    <xf numFmtId="49" fontId="2" fillId="3" borderId="0" xfId="0" applyNumberFormat="1" applyFont="1" applyFill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Alignment="1">
      <alignment horizontal="left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2" xfId="0" applyBorder="1"/>
    <xf numFmtId="0" fontId="5" fillId="0" borderId="4" xfId="0" applyFont="1" applyFill="1" applyBorder="1"/>
    <xf numFmtId="0" fontId="2" fillId="0" borderId="4" xfId="0" applyFont="1" applyFill="1" applyBorder="1"/>
    <xf numFmtId="0" fontId="5" fillId="3" borderId="4" xfId="0" applyFont="1" applyFill="1" applyBorder="1"/>
    <xf numFmtId="0" fontId="4" fillId="0" borderId="4" xfId="0" applyFont="1" applyBorder="1"/>
    <xf numFmtId="49" fontId="2" fillId="0" borderId="4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8" fillId="2" borderId="0" xfId="0" applyNumberFormat="1" applyFont="1" applyFill="1" applyAlignment="1">
      <alignment wrapText="1"/>
    </xf>
    <xf numFmtId="49" fontId="8" fillId="2" borderId="0" xfId="0" applyNumberFormat="1" applyFon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/>
    <xf numFmtId="0" fontId="8" fillId="2" borderId="0" xfId="0" applyFont="1" applyFill="1"/>
    <xf numFmtId="0" fontId="4" fillId="0" borderId="2" xfId="0" applyFont="1" applyBorder="1" applyAlignment="1">
      <alignment vertical="top" wrapText="1"/>
    </xf>
    <xf numFmtId="49" fontId="7" fillId="0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Fill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4" fillId="0" borderId="9" xfId="0" applyFont="1" applyBorder="1" applyAlignment="1">
      <alignment vertical="top" wrapText="1"/>
    </xf>
    <xf numFmtId="0" fontId="9" fillId="2" borderId="9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49" fontId="8" fillId="2" borderId="6" xfId="0" applyNumberFormat="1" applyFont="1" applyFill="1" applyBorder="1" applyAlignment="1">
      <alignment wrapText="1"/>
    </xf>
    <xf numFmtId="0" fontId="8" fillId="2" borderId="8" xfId="0" applyFont="1" applyFill="1" applyBorder="1" applyAlignment="1">
      <alignment vertical="top" wrapText="1"/>
    </xf>
    <xf numFmtId="0" fontId="5" fillId="3" borderId="2" xfId="0" applyFont="1" applyFill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49" fontId="0" fillId="0" borderId="0" xfId="0" applyNumberFormat="1" applyFont="1" applyAlignment="1">
      <alignment horizontal="center" vertical="center" wrapText="1"/>
    </xf>
    <xf numFmtId="0" fontId="5" fillId="0" borderId="2" xfId="0" applyFont="1" applyBorder="1" applyAlignment="1">
      <alignment horizontal="center" vertical="top" wrapText="1"/>
    </xf>
    <xf numFmtId="0" fontId="5" fillId="0" borderId="1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9" fillId="2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8" fillId="2" borderId="7" xfId="0" applyFont="1" applyFill="1" applyBorder="1"/>
    <xf numFmtId="0" fontId="8" fillId="2" borderId="15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3" borderId="9" xfId="0" applyFont="1" applyFill="1" applyBorder="1" applyAlignment="1">
      <alignment horizontal="center" vertical="top" wrapText="1"/>
    </xf>
    <xf numFmtId="0" fontId="11" fillId="0" borderId="0" xfId="0" applyFont="1"/>
    <xf numFmtId="49" fontId="6" fillId="0" borderId="4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top" wrapText="1"/>
    </xf>
    <xf numFmtId="0" fontId="0" fillId="0" borderId="2" xfId="0" applyBorder="1" applyAlignment="1">
      <alignment horizontal="left" vertical="top"/>
    </xf>
    <xf numFmtId="9" fontId="2" fillId="0" borderId="0" xfId="1" applyFont="1" applyAlignment="1">
      <alignment horizontal="center" vertical="center"/>
    </xf>
    <xf numFmtId="0" fontId="5" fillId="0" borderId="0" xfId="0" applyFont="1" applyFill="1" applyBorder="1"/>
    <xf numFmtId="0" fontId="2" fillId="0" borderId="0" xfId="0" applyFont="1" applyFill="1" applyBorder="1"/>
    <xf numFmtId="0" fontId="8" fillId="2" borderId="0" xfId="0" applyFont="1" applyFill="1" applyBorder="1"/>
    <xf numFmtId="49" fontId="6" fillId="0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/>
    </xf>
    <xf numFmtId="0" fontId="8" fillId="2" borderId="2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center" vertical="top"/>
    </xf>
    <xf numFmtId="0" fontId="8" fillId="2" borderId="2" xfId="0" applyFont="1" applyFill="1" applyBorder="1" applyAlignment="1">
      <alignment horizontal="left" vertical="top"/>
    </xf>
    <xf numFmtId="0" fontId="5" fillId="3" borderId="2" xfId="0" applyFont="1" applyFill="1" applyBorder="1" applyAlignment="1">
      <alignment horizontal="left" vertical="top"/>
    </xf>
    <xf numFmtId="49" fontId="2" fillId="0" borderId="2" xfId="0" applyNumberFormat="1" applyFont="1" applyFill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2" fillId="0" borderId="0" xfId="0" applyFont="1" applyFill="1" applyBorder="1" applyAlignment="1">
      <alignment horizontal="left" vertical="top"/>
    </xf>
    <xf numFmtId="0" fontId="8" fillId="2" borderId="0" xfId="0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left" vertical="top"/>
    </xf>
    <xf numFmtId="49" fontId="2" fillId="0" borderId="0" xfId="0" applyNumberFormat="1" applyFont="1" applyFill="1" applyBorder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2" fillId="3" borderId="0" xfId="0" applyFont="1" applyFill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horizontal="left" vertical="top"/>
    </xf>
    <xf numFmtId="0" fontId="2" fillId="3" borderId="0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2" fillId="3" borderId="0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8" fillId="2" borderId="4" xfId="0" applyFont="1" applyFill="1" applyBorder="1" applyAlignment="1"/>
    <xf numFmtId="0" fontId="8" fillId="2" borderId="2" xfId="0" applyFont="1" applyFill="1" applyBorder="1" applyAlignment="1"/>
    <xf numFmtId="0" fontId="2" fillId="0" borderId="0" xfId="0" applyFont="1" applyFill="1" applyBorder="1" applyAlignment="1"/>
    <xf numFmtId="0" fontId="8" fillId="2" borderId="0" xfId="0" applyFont="1" applyFill="1" applyBorder="1" applyAlignment="1"/>
    <xf numFmtId="0" fontId="2" fillId="3" borderId="0" xfId="0" applyFont="1" applyFill="1" applyBorder="1" applyAlignment="1"/>
    <xf numFmtId="0" fontId="2" fillId="3" borderId="2" xfId="0" applyFon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0" fillId="0" borderId="0" xfId="0" applyBorder="1" applyAlignment="1"/>
    <xf numFmtId="0" fontId="0" fillId="0" borderId="2" xfId="0" applyBorder="1" applyAlignment="1"/>
    <xf numFmtId="0" fontId="8" fillId="2" borderId="0" xfId="0" applyFont="1" applyFill="1" applyBorder="1" applyAlignment="1">
      <alignment horizontal="left" vertical="top" wrapText="1"/>
    </xf>
    <xf numFmtId="0" fontId="8" fillId="2" borderId="2" xfId="0" applyFon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center" wrapText="1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 wrapText="1"/>
    </xf>
    <xf numFmtId="0" fontId="4" fillId="0" borderId="0" xfId="0" applyFont="1" applyBorder="1" applyAlignment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4" fillId="0" borderId="5" xfId="0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0" fontId="5" fillId="0" borderId="4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center"/>
    </xf>
    <xf numFmtId="2" fontId="5" fillId="0" borderId="4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horizontal="right" vertical="center"/>
    </xf>
    <xf numFmtId="0" fontId="12" fillId="0" borderId="0" xfId="0" applyFont="1"/>
    <xf numFmtId="49" fontId="0" fillId="0" borderId="0" xfId="0" applyNumberFormat="1"/>
    <xf numFmtId="0" fontId="2" fillId="0" borderId="0" xfId="0" applyFont="1" applyAlignment="1">
      <alignment horizontal="center"/>
    </xf>
    <xf numFmtId="0" fontId="4" fillId="0" borderId="4" xfId="0" applyFont="1" applyFill="1" applyBorder="1" applyAlignment="1">
      <alignment vertical="top" wrapText="1"/>
    </xf>
    <xf numFmtId="0" fontId="4" fillId="0" borderId="19" xfId="0" applyFont="1" applyBorder="1" applyAlignment="1">
      <alignment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0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1" xfId="0" applyFont="1" applyBorder="1" applyAlignment="1">
      <alignment horizontal="center" vertical="top" wrapText="1"/>
    </xf>
    <xf numFmtId="0" fontId="4" fillId="0" borderId="23" xfId="0" applyFont="1" applyBorder="1" applyAlignment="1">
      <alignment vertical="top" wrapText="1"/>
    </xf>
    <xf numFmtId="0" fontId="11" fillId="0" borderId="0" xfId="0" applyFont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49" fontId="0" fillId="4" borderId="0" xfId="0" applyNumberFormat="1" applyFont="1" applyFill="1" applyAlignment="1">
      <alignment wrapText="1"/>
    </xf>
    <xf numFmtId="0" fontId="0" fillId="4" borderId="0" xfId="0" applyFont="1" applyFill="1"/>
    <xf numFmtId="0" fontId="0" fillId="4" borderId="4" xfId="0" applyFont="1" applyFill="1" applyBorder="1"/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center" vertical="top"/>
    </xf>
    <xf numFmtId="0" fontId="0" fillId="4" borderId="0" xfId="0" applyFont="1" applyFill="1" applyBorder="1" applyAlignment="1"/>
    <xf numFmtId="0" fontId="0" fillId="4" borderId="0" xfId="0" applyFont="1" applyFill="1" applyBorder="1"/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vertical="top" wrapText="1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horizontal="right" vertical="center" wrapText="1"/>
    </xf>
    <xf numFmtId="165" fontId="2" fillId="0" borderId="0" xfId="0" applyNumberFormat="1" applyFont="1" applyAlignment="1">
      <alignment horizontal="center" vertical="center"/>
    </xf>
    <xf numFmtId="0" fontId="5" fillId="0" borderId="0" xfId="0" applyFont="1" applyBorder="1" applyAlignment="1">
      <alignment vertical="top" wrapText="1"/>
    </xf>
    <xf numFmtId="0" fontId="5" fillId="0" borderId="10" xfId="0" applyFont="1" applyBorder="1" applyAlignment="1">
      <alignment vertical="top" wrapText="1"/>
    </xf>
    <xf numFmtId="0" fontId="0" fillId="5" borderId="4" xfId="0" applyFont="1" applyFill="1" applyBorder="1"/>
    <xf numFmtId="0" fontId="0" fillId="5" borderId="0" xfId="0" applyFont="1" applyFill="1" applyBorder="1" applyAlignment="1">
      <alignment horizontal="left" vertical="top"/>
    </xf>
    <xf numFmtId="0" fontId="0" fillId="5" borderId="0" xfId="0" applyFont="1" applyFill="1"/>
    <xf numFmtId="0" fontId="0" fillId="5" borderId="0" xfId="0" applyFont="1" applyFill="1" applyBorder="1" applyAlignment="1"/>
    <xf numFmtId="0" fontId="0" fillId="5" borderId="0" xfId="0" applyFont="1" applyFill="1" applyBorder="1"/>
    <xf numFmtId="0" fontId="0" fillId="5" borderId="0" xfId="0" applyFont="1" applyFill="1" applyBorder="1" applyAlignment="1">
      <alignment horizontal="left"/>
    </xf>
    <xf numFmtId="0" fontId="0" fillId="5" borderId="2" xfId="0" applyFont="1" applyFill="1" applyBorder="1" applyAlignment="1">
      <alignment horizontal="center" vertical="top"/>
    </xf>
    <xf numFmtId="0" fontId="0" fillId="5" borderId="2" xfId="0" applyFont="1" applyFill="1" applyBorder="1" applyAlignment="1">
      <alignment horizontal="center" vertical="center"/>
    </xf>
    <xf numFmtId="0" fontId="0" fillId="4" borderId="24" xfId="0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4" borderId="0" xfId="0" applyFont="1" applyFill="1" applyBorder="1" applyAlignment="1">
      <alignment horizontal="left" vertical="top"/>
    </xf>
    <xf numFmtId="0" fontId="4" fillId="4" borderId="2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 wrapText="1"/>
    </xf>
    <xf numFmtId="9" fontId="4" fillId="0" borderId="0" xfId="1" applyFont="1" applyBorder="1" applyAlignment="1">
      <alignment vertical="center"/>
    </xf>
    <xf numFmtId="9" fontId="4" fillId="0" borderId="2" xfId="1" applyFont="1" applyBorder="1" applyAlignment="1">
      <alignment vertical="center"/>
    </xf>
    <xf numFmtId="0" fontId="4" fillId="4" borderId="24" xfId="0" applyFont="1" applyFill="1" applyBorder="1" applyAlignment="1">
      <alignment horizontal="left" vertical="top" wrapText="1"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6" fillId="0" borderId="2" xfId="0" applyNumberFormat="1" applyFont="1" applyFill="1" applyBorder="1" applyAlignment="1">
      <alignment horizontal="left" vertical="top" wrapText="1"/>
    </xf>
    <xf numFmtId="0" fontId="0" fillId="4" borderId="24" xfId="0" applyFill="1" applyBorder="1" applyAlignment="1">
      <alignment vertical="top" wrapText="1"/>
    </xf>
    <xf numFmtId="0" fontId="0" fillId="4" borderId="24" xfId="0" applyFill="1" applyBorder="1" applyAlignment="1">
      <alignment horizontal="left" vertical="top" wrapText="1"/>
    </xf>
    <xf numFmtId="49" fontId="7" fillId="0" borderId="0" xfId="0" applyNumberFormat="1" applyFont="1" applyFill="1" applyBorder="1" applyAlignment="1">
      <alignment vertical="top" wrapText="1"/>
    </xf>
    <xf numFmtId="49" fontId="7" fillId="0" borderId="2" xfId="0" applyNumberFormat="1" applyFont="1" applyFill="1" applyBorder="1" applyAlignment="1">
      <alignment vertical="top" wrapText="1"/>
    </xf>
    <xf numFmtId="0" fontId="0" fillId="4" borderId="0" xfId="0" applyFont="1" applyFill="1" applyBorder="1" applyAlignment="1"/>
    <xf numFmtId="0" fontId="0" fillId="4" borderId="2" xfId="0" applyFont="1" applyFill="1" applyBorder="1" applyAlignment="1"/>
    <xf numFmtId="0" fontId="5" fillId="0" borderId="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left" vertical="top"/>
    </xf>
    <xf numFmtId="49" fontId="7" fillId="0" borderId="0" xfId="0" applyNumberFormat="1" applyFont="1" applyFill="1" applyBorder="1" applyAlignment="1">
      <alignment horizontal="left" vertical="top" wrapText="1"/>
    </xf>
    <xf numFmtId="49" fontId="7" fillId="0" borderId="2" xfId="0" applyNumberFormat="1" applyFont="1" applyFill="1" applyBorder="1" applyAlignment="1">
      <alignment horizontal="left" vertical="top" wrapText="1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9" fontId="4" fillId="0" borderId="0" xfId="1" applyFont="1" applyBorder="1" applyAlignment="1">
      <alignment horizontal="left" vertical="center"/>
    </xf>
    <xf numFmtId="9" fontId="4" fillId="0" borderId="2" xfId="1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/>
    </xf>
    <xf numFmtId="0" fontId="0" fillId="4" borderId="24" xfId="0" applyFill="1" applyBorder="1" applyAlignment="1">
      <alignment horizontal="left" wrapText="1"/>
    </xf>
    <xf numFmtId="0" fontId="0" fillId="4" borderId="24" xfId="0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left"/>
    </xf>
    <xf numFmtId="0" fontId="14" fillId="2" borderId="0" xfId="0" applyFont="1" applyFill="1" applyAlignment="1">
      <alignment horizontal="center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4" xfId="0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</cellXfs>
  <cellStyles count="2">
    <cellStyle name="Prozent" xfId="1" builtinId="5"/>
    <cellStyle name="Standard" xfId="0" builtinId="0"/>
  </cellStyles>
  <dxfs count="434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2</xdr:row>
          <xdr:rowOff>127000</xdr:rowOff>
        </xdr:from>
        <xdr:to>
          <xdr:col>1</xdr:col>
          <xdr:colOff>2413000</xdr:colOff>
          <xdr:row>8</xdr:row>
          <xdr:rowOff>127000</xdr:rowOff>
        </xdr:to>
        <xdr:sp macro="" textlink="">
          <xdr:nvSpPr>
            <xdr:cNvPr id="3073" name="Button 1" descr="PDFs Generiere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PDFs generieren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FD33-7D4C-4C4F-8E98-AB0D091828C5}">
  <sheetPr codeName="Tabelle13"/>
  <dimension ref="A1:G79"/>
  <sheetViews>
    <sheetView tabSelected="1" workbookViewId="0">
      <selection activeCell="H14" sqref="H14"/>
    </sheetView>
  </sheetViews>
  <sheetFormatPr baseColWidth="10" defaultRowHeight="16" x14ac:dyDescent="0.2"/>
  <cols>
    <col min="2" max="2" width="23.83203125" bestFit="1" customWidth="1"/>
    <col min="4" max="4" width="17.33203125" bestFit="1" customWidth="1"/>
    <col min="5" max="5" width="24.5" bestFit="1" customWidth="1"/>
    <col min="7" max="7" width="23.1640625" bestFit="1" customWidth="1"/>
  </cols>
  <sheetData>
    <row r="1" spans="1:7" x14ac:dyDescent="0.2">
      <c r="A1" s="10" t="s">
        <v>19</v>
      </c>
      <c r="B1" s="10" t="s">
        <v>14</v>
      </c>
      <c r="C1" s="10" t="s">
        <v>71</v>
      </c>
      <c r="D1" s="10" t="s">
        <v>18</v>
      </c>
      <c r="E1" s="10" t="s">
        <v>12</v>
      </c>
      <c r="F1" s="10" t="s">
        <v>87</v>
      </c>
      <c r="G1" s="10" t="s">
        <v>86</v>
      </c>
    </row>
    <row r="2" spans="1:7" x14ac:dyDescent="0.2">
      <c r="A2">
        <f>Gesamt!D4</f>
        <v>0</v>
      </c>
      <c r="B2">
        <f>Gesamt!E4</f>
        <v>0</v>
      </c>
      <c r="C2" t="b">
        <f>Gesamt!F4</f>
        <v>1</v>
      </c>
      <c r="D2">
        <f>Gesamt!E$2</f>
        <v>0</v>
      </c>
      <c r="E2" s="144" t="str">
        <f>Gesamt!$A$3</f>
        <v>Prof. Dr. Benjamin Buchwitz</v>
      </c>
      <c r="F2" t="b">
        <f>AND(C2,Gesamt!D$45)</f>
        <v>0</v>
      </c>
      <c r="G2">
        <f>Gesamt!D$43*C2</f>
        <v>0</v>
      </c>
    </row>
    <row r="3" spans="1:7" x14ac:dyDescent="0.2">
      <c r="A3">
        <f>Gesamt!D5</f>
        <v>0</v>
      </c>
      <c r="B3">
        <f>Gesamt!E5</f>
        <v>0</v>
      </c>
      <c r="C3" t="str">
        <f>Gesamt!F5</f>
        <v xml:space="preserve"> </v>
      </c>
      <c r="D3">
        <f>Gesamt!E$2</f>
        <v>0</v>
      </c>
      <c r="E3" s="144" t="str">
        <f>Gesamt!$A$3</f>
        <v>Prof. Dr. Benjamin Buchwitz</v>
      </c>
      <c r="F3" t="b">
        <f>AND(C3,Gesamt!D$45)</f>
        <v>0</v>
      </c>
      <c r="G3" t="e">
        <f>Gesamt!D$43*C3</f>
        <v>#VALUE!</v>
      </c>
    </row>
    <row r="4" spans="1:7" x14ac:dyDescent="0.2">
      <c r="A4">
        <f>Gesamt!D6</f>
        <v>0</v>
      </c>
      <c r="B4">
        <f>Gesamt!E6</f>
        <v>0</v>
      </c>
      <c r="C4" t="str">
        <f>Gesamt!F6</f>
        <v xml:space="preserve"> </v>
      </c>
      <c r="D4">
        <f>Gesamt!E$2</f>
        <v>0</v>
      </c>
      <c r="E4" s="144" t="str">
        <f>Gesamt!$A$3</f>
        <v>Prof. Dr. Benjamin Buchwitz</v>
      </c>
      <c r="F4" t="b">
        <f>AND(C4,Gesamt!D$45)</f>
        <v>0</v>
      </c>
      <c r="G4" t="e">
        <f>Gesamt!D$43*C4</f>
        <v>#VALUE!</v>
      </c>
    </row>
    <row r="5" spans="1:7" x14ac:dyDescent="0.2">
      <c r="A5">
        <f>Gesamt!D7</f>
        <v>0</v>
      </c>
      <c r="B5">
        <f>Gesamt!E7</f>
        <v>0</v>
      </c>
      <c r="C5" t="str">
        <f>Gesamt!F7</f>
        <v xml:space="preserve"> </v>
      </c>
      <c r="D5">
        <f>Gesamt!E$2</f>
        <v>0</v>
      </c>
      <c r="E5" s="144" t="str">
        <f>Gesamt!$A$3</f>
        <v>Prof. Dr. Benjamin Buchwitz</v>
      </c>
      <c r="F5" t="b">
        <f>AND(C5,Gesamt!D$45)</f>
        <v>0</v>
      </c>
      <c r="G5" t="e">
        <f>Gesamt!D$43*C5</f>
        <v>#VALUE!</v>
      </c>
    </row>
    <row r="6" spans="1:7" x14ac:dyDescent="0.2">
      <c r="A6">
        <f>Gesamt!D8</f>
        <v>0</v>
      </c>
      <c r="B6">
        <f>Gesamt!E8</f>
        <v>0</v>
      </c>
      <c r="C6" t="str">
        <f>Gesamt!F8</f>
        <v xml:space="preserve"> </v>
      </c>
      <c r="D6">
        <f>Gesamt!E$2</f>
        <v>0</v>
      </c>
      <c r="E6" s="144" t="str">
        <f>Gesamt!$A$3</f>
        <v>Prof. Dr. Benjamin Buchwitz</v>
      </c>
      <c r="F6" t="b">
        <f>AND(C6,Gesamt!D$45)</f>
        <v>0</v>
      </c>
      <c r="G6" t="e">
        <f>Gesamt!D$43*C6</f>
        <v>#VALUE!</v>
      </c>
    </row>
    <row r="7" spans="1:7" x14ac:dyDescent="0.2">
      <c r="A7">
        <f>Gesamt!D9</f>
        <v>0</v>
      </c>
      <c r="B7">
        <f>Gesamt!E9</f>
        <v>0</v>
      </c>
      <c r="C7" t="str">
        <f>Gesamt!F9</f>
        <v xml:space="preserve"> </v>
      </c>
      <c r="D7">
        <f>Gesamt!E$2</f>
        <v>0</v>
      </c>
      <c r="E7" s="144" t="str">
        <f>Gesamt!$A$3</f>
        <v>Prof. Dr. Benjamin Buchwitz</v>
      </c>
      <c r="F7" t="b">
        <f>AND(C7,Gesamt!D$45)</f>
        <v>0</v>
      </c>
      <c r="G7" t="e">
        <f>Gesamt!D$43*C7</f>
        <v>#VALUE!</v>
      </c>
    </row>
    <row r="8" spans="1:7" x14ac:dyDescent="0.2">
      <c r="A8">
        <f>Gesamt!G4</f>
        <v>0</v>
      </c>
      <c r="B8">
        <f>Gesamt!H4</f>
        <v>0</v>
      </c>
      <c r="C8" t="b">
        <f>Gesamt!I4</f>
        <v>1</v>
      </c>
      <c r="D8">
        <f>Gesamt!H$2</f>
        <v>0</v>
      </c>
      <c r="E8" s="144" t="str">
        <f>Gesamt!$A$3</f>
        <v>Prof. Dr. Benjamin Buchwitz</v>
      </c>
      <c r="F8" t="b">
        <f>AND(C8,Gesamt!G$45)</f>
        <v>0</v>
      </c>
      <c r="G8">
        <f>Gesamt!G$43*C8</f>
        <v>0</v>
      </c>
    </row>
    <row r="9" spans="1:7" x14ac:dyDescent="0.2">
      <c r="A9">
        <f>Gesamt!G5</f>
        <v>0</v>
      </c>
      <c r="B9">
        <f>Gesamt!H5</f>
        <v>0</v>
      </c>
      <c r="C9" t="str">
        <f>Gesamt!I5</f>
        <v xml:space="preserve"> </v>
      </c>
      <c r="D9">
        <f>Gesamt!H$2</f>
        <v>0</v>
      </c>
      <c r="E9" s="144" t="str">
        <f>Gesamt!$A$3</f>
        <v>Prof. Dr. Benjamin Buchwitz</v>
      </c>
      <c r="F9" t="b">
        <f>AND(C9,Gesamt!G$45)</f>
        <v>0</v>
      </c>
      <c r="G9" t="e">
        <f>Gesamt!G$43*C9</f>
        <v>#VALUE!</v>
      </c>
    </row>
    <row r="10" spans="1:7" x14ac:dyDescent="0.2">
      <c r="A10">
        <f>Gesamt!G6</f>
        <v>0</v>
      </c>
      <c r="B10">
        <f>Gesamt!H6</f>
        <v>0</v>
      </c>
      <c r="C10" t="str">
        <f>Gesamt!I6</f>
        <v xml:space="preserve"> </v>
      </c>
      <c r="D10">
        <f>Gesamt!H$2</f>
        <v>0</v>
      </c>
      <c r="E10" s="144" t="str">
        <f>Gesamt!$A$3</f>
        <v>Prof. Dr. Benjamin Buchwitz</v>
      </c>
      <c r="F10" t="b">
        <f>AND(C10,Gesamt!G$45)</f>
        <v>0</v>
      </c>
      <c r="G10" t="e">
        <f>Gesamt!G$43*C10</f>
        <v>#VALUE!</v>
      </c>
    </row>
    <row r="11" spans="1:7" x14ac:dyDescent="0.2">
      <c r="A11">
        <f>Gesamt!G7</f>
        <v>0</v>
      </c>
      <c r="B11">
        <f>Gesamt!H7</f>
        <v>0</v>
      </c>
      <c r="C11" t="str">
        <f>Gesamt!I7</f>
        <v xml:space="preserve"> </v>
      </c>
      <c r="D11">
        <f>Gesamt!H$2</f>
        <v>0</v>
      </c>
      <c r="E11" s="144" t="str">
        <f>Gesamt!$A$3</f>
        <v>Prof. Dr. Benjamin Buchwitz</v>
      </c>
      <c r="F11" t="b">
        <f>AND(C11,Gesamt!G$45)</f>
        <v>0</v>
      </c>
      <c r="G11" t="e">
        <f>Gesamt!G$43*C11</f>
        <v>#VALUE!</v>
      </c>
    </row>
    <row r="12" spans="1:7" x14ac:dyDescent="0.2">
      <c r="A12">
        <f>Gesamt!G8</f>
        <v>0</v>
      </c>
      <c r="B12">
        <f>Gesamt!H8</f>
        <v>0</v>
      </c>
      <c r="C12" t="str">
        <f>Gesamt!I8</f>
        <v xml:space="preserve"> </v>
      </c>
      <c r="D12">
        <f>Gesamt!H$2</f>
        <v>0</v>
      </c>
      <c r="E12" s="144" t="str">
        <f>Gesamt!$A$3</f>
        <v>Prof. Dr. Benjamin Buchwitz</v>
      </c>
      <c r="F12" t="b">
        <f>AND(C12,Gesamt!G$45)</f>
        <v>0</v>
      </c>
      <c r="G12" t="e">
        <f>Gesamt!G$43*C12</f>
        <v>#VALUE!</v>
      </c>
    </row>
    <row r="13" spans="1:7" x14ac:dyDescent="0.2">
      <c r="A13">
        <f>Gesamt!G9</f>
        <v>0</v>
      </c>
      <c r="B13">
        <f>Gesamt!H9</f>
        <v>0</v>
      </c>
      <c r="C13" t="str">
        <f>Gesamt!I9</f>
        <v xml:space="preserve"> </v>
      </c>
      <c r="D13">
        <f>Gesamt!H$2</f>
        <v>0</v>
      </c>
      <c r="E13" s="144" t="str">
        <f>Gesamt!$A$3</f>
        <v>Prof. Dr. Benjamin Buchwitz</v>
      </c>
      <c r="F13" t="b">
        <f>AND(C13,Gesamt!G$45)</f>
        <v>0</v>
      </c>
      <c r="G13" t="e">
        <f>Gesamt!G$43*C13</f>
        <v>#VALUE!</v>
      </c>
    </row>
    <row r="14" spans="1:7" x14ac:dyDescent="0.2">
      <c r="A14">
        <f>Gesamt!J4</f>
        <v>0</v>
      </c>
      <c r="B14">
        <f>Gesamt!K4</f>
        <v>0</v>
      </c>
      <c r="C14" t="b">
        <f>Gesamt!L4</f>
        <v>1</v>
      </c>
      <c r="D14">
        <f>Gesamt!K$2</f>
        <v>0</v>
      </c>
      <c r="E14" s="144" t="str">
        <f>Gesamt!$A$3</f>
        <v>Prof. Dr. Benjamin Buchwitz</v>
      </c>
      <c r="F14" t="b">
        <f>AND(C14,Gesamt!J$45)</f>
        <v>0</v>
      </c>
      <c r="G14">
        <f>Gesamt!J$43*C14</f>
        <v>0</v>
      </c>
    </row>
    <row r="15" spans="1:7" x14ac:dyDescent="0.2">
      <c r="A15">
        <f>Gesamt!J5</f>
        <v>0</v>
      </c>
      <c r="B15">
        <f>Gesamt!K5</f>
        <v>0</v>
      </c>
      <c r="C15" t="str">
        <f>Gesamt!L5</f>
        <v xml:space="preserve"> </v>
      </c>
      <c r="D15">
        <f>Gesamt!K$2</f>
        <v>0</v>
      </c>
      <c r="E15" s="144" t="str">
        <f>Gesamt!$A$3</f>
        <v>Prof. Dr. Benjamin Buchwitz</v>
      </c>
      <c r="F15" t="b">
        <f>AND(C15,Gesamt!J$45)</f>
        <v>0</v>
      </c>
      <c r="G15" t="e">
        <f>Gesamt!J$43*C15</f>
        <v>#VALUE!</v>
      </c>
    </row>
    <row r="16" spans="1:7" x14ac:dyDescent="0.2">
      <c r="A16">
        <f>Gesamt!J6</f>
        <v>0</v>
      </c>
      <c r="B16">
        <f>Gesamt!K6</f>
        <v>0</v>
      </c>
      <c r="C16" t="str">
        <f>Gesamt!L6</f>
        <v xml:space="preserve"> </v>
      </c>
      <c r="D16">
        <f>Gesamt!K$2</f>
        <v>0</v>
      </c>
      <c r="E16" s="144" t="str">
        <f>Gesamt!$A$3</f>
        <v>Prof. Dr. Benjamin Buchwitz</v>
      </c>
      <c r="F16" t="b">
        <f>AND(C16,Gesamt!J$45)</f>
        <v>0</v>
      </c>
      <c r="G16" t="e">
        <f>Gesamt!J$43*C16</f>
        <v>#VALUE!</v>
      </c>
    </row>
    <row r="17" spans="1:7" x14ac:dyDescent="0.2">
      <c r="A17">
        <f>Gesamt!J7</f>
        <v>0</v>
      </c>
      <c r="B17">
        <f>Gesamt!K7</f>
        <v>0</v>
      </c>
      <c r="C17" t="str">
        <f>Gesamt!L7</f>
        <v xml:space="preserve"> </v>
      </c>
      <c r="D17">
        <f>Gesamt!K$2</f>
        <v>0</v>
      </c>
      <c r="E17" s="144" t="str">
        <f>Gesamt!$A$3</f>
        <v>Prof. Dr. Benjamin Buchwitz</v>
      </c>
      <c r="F17" t="b">
        <f>AND(C17,Gesamt!J$45)</f>
        <v>0</v>
      </c>
      <c r="G17" t="e">
        <f>Gesamt!J$43*C17</f>
        <v>#VALUE!</v>
      </c>
    </row>
    <row r="18" spans="1:7" x14ac:dyDescent="0.2">
      <c r="A18">
        <f>Gesamt!J8</f>
        <v>0</v>
      </c>
      <c r="B18">
        <f>Gesamt!K8</f>
        <v>0</v>
      </c>
      <c r="C18" t="str">
        <f>Gesamt!L8</f>
        <v xml:space="preserve"> </v>
      </c>
      <c r="D18">
        <f>Gesamt!K$2</f>
        <v>0</v>
      </c>
      <c r="E18" s="144" t="str">
        <f>Gesamt!$A$3</f>
        <v>Prof. Dr. Benjamin Buchwitz</v>
      </c>
      <c r="F18" t="b">
        <f>AND(C18,Gesamt!J$45)</f>
        <v>0</v>
      </c>
      <c r="G18" t="e">
        <f>Gesamt!J$43*C18</f>
        <v>#VALUE!</v>
      </c>
    </row>
    <row r="19" spans="1:7" x14ac:dyDescent="0.2">
      <c r="A19">
        <f>Gesamt!J9</f>
        <v>0</v>
      </c>
      <c r="B19">
        <f>Gesamt!K9</f>
        <v>0</v>
      </c>
      <c r="C19" t="str">
        <f>Gesamt!L9</f>
        <v xml:space="preserve"> </v>
      </c>
      <c r="D19">
        <f>Gesamt!K$2</f>
        <v>0</v>
      </c>
      <c r="E19" s="144" t="str">
        <f>Gesamt!$A$3</f>
        <v>Prof. Dr. Benjamin Buchwitz</v>
      </c>
      <c r="F19" t="b">
        <f>AND(C19,Gesamt!J$45)</f>
        <v>0</v>
      </c>
      <c r="G19" t="e">
        <f>Gesamt!J$43*C19</f>
        <v>#VALUE!</v>
      </c>
    </row>
    <row r="20" spans="1:7" x14ac:dyDescent="0.2">
      <c r="A20">
        <f>Gesamt!M4</f>
        <v>0</v>
      </c>
      <c r="B20">
        <f>Gesamt!N4</f>
        <v>0</v>
      </c>
      <c r="C20" t="b">
        <f>Gesamt!O4</f>
        <v>1</v>
      </c>
      <c r="D20">
        <f>Gesamt!N$2</f>
        <v>0</v>
      </c>
      <c r="E20" s="144" t="str">
        <f>Gesamt!$A$3</f>
        <v>Prof. Dr. Benjamin Buchwitz</v>
      </c>
      <c r="F20" t="b">
        <f>AND(C20,Gesamt!M$45)</f>
        <v>0</v>
      </c>
      <c r="G20">
        <f>Gesamt!M$43*C20</f>
        <v>0</v>
      </c>
    </row>
    <row r="21" spans="1:7" x14ac:dyDescent="0.2">
      <c r="A21">
        <f>Gesamt!M5</f>
        <v>0</v>
      </c>
      <c r="B21">
        <f>Gesamt!N5</f>
        <v>0</v>
      </c>
      <c r="C21" t="str">
        <f>Gesamt!O5</f>
        <v xml:space="preserve"> </v>
      </c>
      <c r="D21">
        <f>Gesamt!N$2</f>
        <v>0</v>
      </c>
      <c r="E21" s="144" t="str">
        <f>Gesamt!$A$3</f>
        <v>Prof. Dr. Benjamin Buchwitz</v>
      </c>
      <c r="F21" t="b">
        <f>AND(C21,Gesamt!M$45)</f>
        <v>0</v>
      </c>
      <c r="G21" t="e">
        <f>Gesamt!M$43*C21</f>
        <v>#VALUE!</v>
      </c>
    </row>
    <row r="22" spans="1:7" x14ac:dyDescent="0.2">
      <c r="A22">
        <f>Gesamt!M6</f>
        <v>0</v>
      </c>
      <c r="B22">
        <f>Gesamt!N6</f>
        <v>0</v>
      </c>
      <c r="C22" t="str">
        <f>Gesamt!O6</f>
        <v xml:space="preserve"> </v>
      </c>
      <c r="D22">
        <f>Gesamt!N$2</f>
        <v>0</v>
      </c>
      <c r="E22" s="144" t="str">
        <f>Gesamt!$A$3</f>
        <v>Prof. Dr. Benjamin Buchwitz</v>
      </c>
      <c r="F22" t="b">
        <f>AND(C22,Gesamt!M$45)</f>
        <v>0</v>
      </c>
      <c r="G22" t="e">
        <f>Gesamt!M$43*C22</f>
        <v>#VALUE!</v>
      </c>
    </row>
    <row r="23" spans="1:7" x14ac:dyDescent="0.2">
      <c r="A23">
        <f>Gesamt!M7</f>
        <v>0</v>
      </c>
      <c r="B23">
        <f>Gesamt!N7</f>
        <v>0</v>
      </c>
      <c r="C23" t="str">
        <f>Gesamt!O7</f>
        <v xml:space="preserve"> </v>
      </c>
      <c r="D23">
        <f>Gesamt!N$2</f>
        <v>0</v>
      </c>
      <c r="E23" s="144" t="str">
        <f>Gesamt!$A$3</f>
        <v>Prof. Dr. Benjamin Buchwitz</v>
      </c>
      <c r="F23" t="b">
        <f>AND(C23,Gesamt!M$45)</f>
        <v>0</v>
      </c>
      <c r="G23" t="e">
        <f>Gesamt!M$43*C23</f>
        <v>#VALUE!</v>
      </c>
    </row>
    <row r="24" spans="1:7" x14ac:dyDescent="0.2">
      <c r="A24">
        <f>Gesamt!M8</f>
        <v>0</v>
      </c>
      <c r="B24">
        <f>Gesamt!N8</f>
        <v>0</v>
      </c>
      <c r="C24" t="str">
        <f>Gesamt!O8</f>
        <v xml:space="preserve"> </v>
      </c>
      <c r="D24">
        <f>Gesamt!N$2</f>
        <v>0</v>
      </c>
      <c r="E24" s="144" t="str">
        <f>Gesamt!$A$3</f>
        <v>Prof. Dr. Benjamin Buchwitz</v>
      </c>
      <c r="F24" t="b">
        <f>AND(C24,Gesamt!M$45)</f>
        <v>0</v>
      </c>
      <c r="G24" t="e">
        <f>Gesamt!M$43*C24</f>
        <v>#VALUE!</v>
      </c>
    </row>
    <row r="25" spans="1:7" x14ac:dyDescent="0.2">
      <c r="A25">
        <f>Gesamt!M9</f>
        <v>0</v>
      </c>
      <c r="B25">
        <f>Gesamt!N9</f>
        <v>0</v>
      </c>
      <c r="C25" t="str">
        <f>Gesamt!O9</f>
        <v xml:space="preserve"> </v>
      </c>
      <c r="D25">
        <f>Gesamt!N$2</f>
        <v>0</v>
      </c>
      <c r="E25" s="144" t="str">
        <f>Gesamt!$A$3</f>
        <v>Prof. Dr. Benjamin Buchwitz</v>
      </c>
      <c r="F25" t="b">
        <f>AND(C25,Gesamt!M$45)</f>
        <v>0</v>
      </c>
      <c r="G25" t="e">
        <f>Gesamt!M$43*C25</f>
        <v>#VALUE!</v>
      </c>
    </row>
    <row r="26" spans="1:7" x14ac:dyDescent="0.2">
      <c r="A26">
        <f>Gesamt!P4</f>
        <v>0</v>
      </c>
      <c r="B26">
        <f>Gesamt!Q4</f>
        <v>0</v>
      </c>
      <c r="C26" t="b">
        <f>Gesamt!R4</f>
        <v>1</v>
      </c>
      <c r="D26" s="143">
        <f>Gesamt!Q$2</f>
        <v>0</v>
      </c>
      <c r="E26" s="144" t="str">
        <f>Gesamt!$A$3</f>
        <v>Prof. Dr. Benjamin Buchwitz</v>
      </c>
      <c r="F26" t="b">
        <f>AND(C26,Gesamt!P$45)</f>
        <v>0</v>
      </c>
      <c r="G26">
        <f>Gesamt!P$43*C26</f>
        <v>0</v>
      </c>
    </row>
    <row r="27" spans="1:7" x14ac:dyDescent="0.2">
      <c r="A27">
        <f>Gesamt!P5</f>
        <v>0</v>
      </c>
      <c r="B27">
        <f>Gesamt!Q5</f>
        <v>0</v>
      </c>
      <c r="C27" t="str">
        <f>Gesamt!R5</f>
        <v xml:space="preserve"> </v>
      </c>
      <c r="D27" s="143">
        <f>Gesamt!Q$2</f>
        <v>0</v>
      </c>
      <c r="E27" s="144" t="str">
        <f>Gesamt!$A$3</f>
        <v>Prof. Dr. Benjamin Buchwitz</v>
      </c>
      <c r="F27" t="b">
        <f>AND(C27,Gesamt!P$45)</f>
        <v>0</v>
      </c>
      <c r="G27" t="e">
        <f>Gesamt!P$43*C27</f>
        <v>#VALUE!</v>
      </c>
    </row>
    <row r="28" spans="1:7" x14ac:dyDescent="0.2">
      <c r="A28">
        <f>Gesamt!P6</f>
        <v>0</v>
      </c>
      <c r="B28">
        <f>Gesamt!Q6</f>
        <v>0</v>
      </c>
      <c r="C28" t="str">
        <f>Gesamt!R6</f>
        <v xml:space="preserve"> </v>
      </c>
      <c r="D28" s="143">
        <f>Gesamt!Q$2</f>
        <v>0</v>
      </c>
      <c r="E28" s="144" t="str">
        <f>Gesamt!$A$3</f>
        <v>Prof. Dr. Benjamin Buchwitz</v>
      </c>
      <c r="F28" t="b">
        <f>AND(C28,Gesamt!P$45)</f>
        <v>0</v>
      </c>
      <c r="G28" t="e">
        <f>Gesamt!P$43*C28</f>
        <v>#VALUE!</v>
      </c>
    </row>
    <row r="29" spans="1:7" x14ac:dyDescent="0.2">
      <c r="A29">
        <f>Gesamt!P7</f>
        <v>0</v>
      </c>
      <c r="B29">
        <f>Gesamt!Q7</f>
        <v>0</v>
      </c>
      <c r="C29" t="str">
        <f>Gesamt!R7</f>
        <v xml:space="preserve"> </v>
      </c>
      <c r="D29" s="143">
        <f>Gesamt!Q$2</f>
        <v>0</v>
      </c>
      <c r="E29" s="144" t="str">
        <f>Gesamt!$A$3</f>
        <v>Prof. Dr. Benjamin Buchwitz</v>
      </c>
      <c r="F29" t="b">
        <f>AND(C29,Gesamt!P$45)</f>
        <v>0</v>
      </c>
      <c r="G29" t="e">
        <f>Gesamt!P$43*C29</f>
        <v>#VALUE!</v>
      </c>
    </row>
    <row r="30" spans="1:7" x14ac:dyDescent="0.2">
      <c r="A30">
        <f>Gesamt!P8</f>
        <v>0</v>
      </c>
      <c r="B30">
        <f>Gesamt!Q8</f>
        <v>0</v>
      </c>
      <c r="C30" t="str">
        <f>Gesamt!R8</f>
        <v xml:space="preserve"> </v>
      </c>
      <c r="D30" s="143">
        <f>Gesamt!Q$2</f>
        <v>0</v>
      </c>
      <c r="E30" s="144" t="str">
        <f>Gesamt!$A$3</f>
        <v>Prof. Dr. Benjamin Buchwitz</v>
      </c>
      <c r="F30" t="b">
        <f>AND(C30,Gesamt!P$45)</f>
        <v>0</v>
      </c>
      <c r="G30" t="e">
        <f>Gesamt!P$43*C30</f>
        <v>#VALUE!</v>
      </c>
    </row>
    <row r="31" spans="1:7" x14ac:dyDescent="0.2">
      <c r="A31">
        <f>Gesamt!P9</f>
        <v>0</v>
      </c>
      <c r="B31">
        <f>Gesamt!Q9</f>
        <v>0</v>
      </c>
      <c r="C31" t="str">
        <f>Gesamt!R9</f>
        <v xml:space="preserve"> </v>
      </c>
      <c r="D31" s="143">
        <f>Gesamt!Q$2</f>
        <v>0</v>
      </c>
      <c r="E31" s="144" t="str">
        <f>Gesamt!$A$3</f>
        <v>Prof. Dr. Benjamin Buchwitz</v>
      </c>
      <c r="F31" t="b">
        <f>AND(C31,Gesamt!P$45)</f>
        <v>0</v>
      </c>
      <c r="G31" t="e">
        <f>Gesamt!P$43*C31</f>
        <v>#VALUE!</v>
      </c>
    </row>
    <row r="32" spans="1:7" x14ac:dyDescent="0.2">
      <c r="A32">
        <f>Gesamt!S4</f>
        <v>0</v>
      </c>
      <c r="B32">
        <f>Gesamt!T4</f>
        <v>0</v>
      </c>
      <c r="C32" t="b">
        <f>Gesamt!U4</f>
        <v>1</v>
      </c>
      <c r="D32">
        <f>Gesamt!T$2</f>
        <v>0</v>
      </c>
      <c r="E32" s="144" t="str">
        <f>Gesamt!$A$3</f>
        <v>Prof. Dr. Benjamin Buchwitz</v>
      </c>
      <c r="F32" t="b">
        <f>AND(C32,Gesamt!S$45)</f>
        <v>0</v>
      </c>
      <c r="G32">
        <f>Gesamt!S$43*C32</f>
        <v>0</v>
      </c>
    </row>
    <row r="33" spans="1:7" x14ac:dyDescent="0.2">
      <c r="A33">
        <f>Gesamt!S5</f>
        <v>0</v>
      </c>
      <c r="B33">
        <f>Gesamt!T5</f>
        <v>0</v>
      </c>
      <c r="C33" t="str">
        <f>Gesamt!U5</f>
        <v xml:space="preserve"> </v>
      </c>
      <c r="D33">
        <f>Gesamt!T$2</f>
        <v>0</v>
      </c>
      <c r="E33" s="144" t="str">
        <f>Gesamt!$A$3</f>
        <v>Prof. Dr. Benjamin Buchwitz</v>
      </c>
      <c r="F33" t="b">
        <f>AND(C33,Gesamt!S$45)</f>
        <v>0</v>
      </c>
      <c r="G33" t="e">
        <f>Gesamt!S$43*C33</f>
        <v>#VALUE!</v>
      </c>
    </row>
    <row r="34" spans="1:7" x14ac:dyDescent="0.2">
      <c r="A34">
        <f>Gesamt!S6</f>
        <v>0</v>
      </c>
      <c r="B34">
        <f>Gesamt!T6</f>
        <v>0</v>
      </c>
      <c r="C34" t="str">
        <f>Gesamt!U6</f>
        <v xml:space="preserve"> </v>
      </c>
      <c r="D34">
        <f>Gesamt!T$2</f>
        <v>0</v>
      </c>
      <c r="E34" s="144" t="str">
        <f>Gesamt!$A$3</f>
        <v>Prof. Dr. Benjamin Buchwitz</v>
      </c>
      <c r="F34" t="b">
        <f>AND(C34,Gesamt!S$45)</f>
        <v>0</v>
      </c>
      <c r="G34" t="e">
        <f>Gesamt!S$43*C34</f>
        <v>#VALUE!</v>
      </c>
    </row>
    <row r="35" spans="1:7" x14ac:dyDescent="0.2">
      <c r="A35">
        <f>Gesamt!S7</f>
        <v>0</v>
      </c>
      <c r="B35">
        <f>Gesamt!T7</f>
        <v>0</v>
      </c>
      <c r="C35" t="str">
        <f>Gesamt!U7</f>
        <v xml:space="preserve"> </v>
      </c>
      <c r="D35">
        <f>Gesamt!T$2</f>
        <v>0</v>
      </c>
      <c r="E35" s="144" t="str">
        <f>Gesamt!$A$3</f>
        <v>Prof. Dr. Benjamin Buchwitz</v>
      </c>
      <c r="F35" t="b">
        <f>AND(C35,Gesamt!S$45)</f>
        <v>0</v>
      </c>
      <c r="G35" t="e">
        <f>Gesamt!S$43*C35</f>
        <v>#VALUE!</v>
      </c>
    </row>
    <row r="36" spans="1:7" x14ac:dyDescent="0.2">
      <c r="A36">
        <f>Gesamt!S8</f>
        <v>0</v>
      </c>
      <c r="B36">
        <f>Gesamt!T8</f>
        <v>0</v>
      </c>
      <c r="C36" t="str">
        <f>Gesamt!U8</f>
        <v xml:space="preserve"> </v>
      </c>
      <c r="D36">
        <f>Gesamt!T$2</f>
        <v>0</v>
      </c>
      <c r="E36" s="144" t="str">
        <f>Gesamt!$A$3</f>
        <v>Prof. Dr. Benjamin Buchwitz</v>
      </c>
      <c r="F36" t="b">
        <f>AND(C36,Gesamt!S$45)</f>
        <v>0</v>
      </c>
      <c r="G36" t="e">
        <f>Gesamt!S$43*C36</f>
        <v>#VALUE!</v>
      </c>
    </row>
    <row r="37" spans="1:7" x14ac:dyDescent="0.2">
      <c r="A37">
        <f>Gesamt!S9</f>
        <v>0</v>
      </c>
      <c r="B37">
        <f>Gesamt!T9</f>
        <v>0</v>
      </c>
      <c r="C37" t="str">
        <f>Gesamt!U9</f>
        <v xml:space="preserve"> </v>
      </c>
      <c r="D37">
        <f>Gesamt!T$2</f>
        <v>0</v>
      </c>
      <c r="E37" s="144" t="str">
        <f>Gesamt!$A$3</f>
        <v>Prof. Dr. Benjamin Buchwitz</v>
      </c>
      <c r="F37" t="b">
        <f>AND(C37,Gesamt!S$45)</f>
        <v>0</v>
      </c>
      <c r="G37" t="e">
        <f>Gesamt!S$43*C37</f>
        <v>#VALUE!</v>
      </c>
    </row>
    <row r="38" spans="1:7" x14ac:dyDescent="0.2">
      <c r="A38">
        <f>Gesamt!V4</f>
        <v>0</v>
      </c>
      <c r="B38">
        <f>Gesamt!W4</f>
        <v>0</v>
      </c>
      <c r="C38" t="b">
        <f>Gesamt!X4</f>
        <v>1</v>
      </c>
      <c r="D38">
        <f>Gesamt!W$2</f>
        <v>0</v>
      </c>
      <c r="E38" s="144" t="str">
        <f>Gesamt!$A$3</f>
        <v>Prof. Dr. Benjamin Buchwitz</v>
      </c>
      <c r="F38" t="b">
        <f>AND(C38,Gesamt!V$45)</f>
        <v>0</v>
      </c>
      <c r="G38">
        <f>Gesamt!V$43*C38</f>
        <v>0</v>
      </c>
    </row>
    <row r="39" spans="1:7" x14ac:dyDescent="0.2">
      <c r="A39">
        <f>Gesamt!V5</f>
        <v>0</v>
      </c>
      <c r="B39">
        <f>Gesamt!W5</f>
        <v>0</v>
      </c>
      <c r="C39" t="str">
        <f>Gesamt!X5</f>
        <v xml:space="preserve"> </v>
      </c>
      <c r="D39">
        <f>Gesamt!W$2</f>
        <v>0</v>
      </c>
      <c r="E39" s="144" t="str">
        <f>Gesamt!$A$3</f>
        <v>Prof. Dr. Benjamin Buchwitz</v>
      </c>
      <c r="F39" t="b">
        <f>AND(C39,Gesamt!V$45)</f>
        <v>0</v>
      </c>
      <c r="G39" t="e">
        <f>Gesamt!V$43*C39</f>
        <v>#VALUE!</v>
      </c>
    </row>
    <row r="40" spans="1:7" x14ac:dyDescent="0.2">
      <c r="A40">
        <f>Gesamt!V6</f>
        <v>0</v>
      </c>
      <c r="B40">
        <f>Gesamt!W6</f>
        <v>0</v>
      </c>
      <c r="C40" t="str">
        <f>Gesamt!X6</f>
        <v xml:space="preserve"> </v>
      </c>
      <c r="D40">
        <f>Gesamt!W$2</f>
        <v>0</v>
      </c>
      <c r="E40" s="144" t="str">
        <f>Gesamt!$A$3</f>
        <v>Prof. Dr. Benjamin Buchwitz</v>
      </c>
      <c r="F40" t="b">
        <f>AND(C40,Gesamt!V$45)</f>
        <v>0</v>
      </c>
      <c r="G40" t="e">
        <f>Gesamt!V$43*C40</f>
        <v>#VALUE!</v>
      </c>
    </row>
    <row r="41" spans="1:7" x14ac:dyDescent="0.2">
      <c r="A41">
        <f>Gesamt!V7</f>
        <v>0</v>
      </c>
      <c r="B41">
        <f>Gesamt!W7</f>
        <v>0</v>
      </c>
      <c r="C41" t="str">
        <f>Gesamt!X7</f>
        <v xml:space="preserve"> </v>
      </c>
      <c r="D41">
        <f>Gesamt!W$2</f>
        <v>0</v>
      </c>
      <c r="E41" s="144" t="str">
        <f>Gesamt!$A$3</f>
        <v>Prof. Dr. Benjamin Buchwitz</v>
      </c>
      <c r="F41" t="b">
        <f>AND(C41,Gesamt!V$45)</f>
        <v>0</v>
      </c>
      <c r="G41" t="e">
        <f>Gesamt!V$43*C41</f>
        <v>#VALUE!</v>
      </c>
    </row>
    <row r="42" spans="1:7" x14ac:dyDescent="0.2">
      <c r="A42">
        <f>Gesamt!V8</f>
        <v>0</v>
      </c>
      <c r="B42">
        <f>Gesamt!W8</f>
        <v>0</v>
      </c>
      <c r="C42" t="str">
        <f>Gesamt!X8</f>
        <v xml:space="preserve"> </v>
      </c>
      <c r="D42">
        <f>Gesamt!W$2</f>
        <v>0</v>
      </c>
      <c r="E42" s="144" t="str">
        <f>Gesamt!$A$3</f>
        <v>Prof. Dr. Benjamin Buchwitz</v>
      </c>
      <c r="F42" t="b">
        <f>AND(C42,Gesamt!V$45)</f>
        <v>0</v>
      </c>
      <c r="G42" t="e">
        <f>Gesamt!V$43*C42</f>
        <v>#VALUE!</v>
      </c>
    </row>
    <row r="43" spans="1:7" x14ac:dyDescent="0.2">
      <c r="A43">
        <f>Gesamt!V9</f>
        <v>0</v>
      </c>
      <c r="B43">
        <f>Gesamt!W9</f>
        <v>0</v>
      </c>
      <c r="C43" t="str">
        <f>Gesamt!X9</f>
        <v xml:space="preserve"> </v>
      </c>
      <c r="D43">
        <f>Gesamt!W$2</f>
        <v>0</v>
      </c>
      <c r="E43" s="144" t="str">
        <f>Gesamt!$A$3</f>
        <v>Prof. Dr. Benjamin Buchwitz</v>
      </c>
      <c r="F43" t="b">
        <f>AND(C43,Gesamt!V$45)</f>
        <v>0</v>
      </c>
      <c r="G43" t="e">
        <f>Gesamt!V$43*C43</f>
        <v>#VALUE!</v>
      </c>
    </row>
    <row r="44" spans="1:7" x14ac:dyDescent="0.2">
      <c r="A44">
        <f>Gesamt!Y4</f>
        <v>0</v>
      </c>
      <c r="B44">
        <f>Gesamt!Z4</f>
        <v>0</v>
      </c>
      <c r="C44" t="b">
        <f>Gesamt!AA4</f>
        <v>1</v>
      </c>
      <c r="D44">
        <f>Gesamt!Z$2</f>
        <v>0</v>
      </c>
      <c r="E44" s="144" t="str">
        <f>Gesamt!$A$3</f>
        <v>Prof. Dr. Benjamin Buchwitz</v>
      </c>
      <c r="F44" t="b">
        <f>AND(C44,Gesamt!Y$45)</f>
        <v>0</v>
      </c>
      <c r="G44">
        <f>Gesamt!Y$43*C44</f>
        <v>0</v>
      </c>
    </row>
    <row r="45" spans="1:7" x14ac:dyDescent="0.2">
      <c r="A45">
        <f>Gesamt!Y5</f>
        <v>0</v>
      </c>
      <c r="B45">
        <f>Gesamt!Z5</f>
        <v>0</v>
      </c>
      <c r="C45" t="str">
        <f>Gesamt!AA5</f>
        <v xml:space="preserve"> </v>
      </c>
      <c r="D45">
        <f>Gesamt!Z$2</f>
        <v>0</v>
      </c>
      <c r="E45" s="144" t="str">
        <f>Gesamt!$A$3</f>
        <v>Prof. Dr. Benjamin Buchwitz</v>
      </c>
      <c r="F45" t="b">
        <f>AND(C45,Gesamt!Y$45)</f>
        <v>0</v>
      </c>
      <c r="G45" t="e">
        <f>Gesamt!Y$43*C45</f>
        <v>#VALUE!</v>
      </c>
    </row>
    <row r="46" spans="1:7" x14ac:dyDescent="0.2">
      <c r="A46">
        <f>Gesamt!Y6</f>
        <v>0</v>
      </c>
      <c r="B46">
        <f>Gesamt!Z6</f>
        <v>0</v>
      </c>
      <c r="C46" t="str">
        <f>Gesamt!AA6</f>
        <v xml:space="preserve"> </v>
      </c>
      <c r="D46">
        <f>Gesamt!Z$2</f>
        <v>0</v>
      </c>
      <c r="E46" s="144" t="str">
        <f>Gesamt!$A$3</f>
        <v>Prof. Dr. Benjamin Buchwitz</v>
      </c>
      <c r="F46" t="b">
        <f>AND(C46,Gesamt!Y$45)</f>
        <v>0</v>
      </c>
      <c r="G46" t="e">
        <f>Gesamt!Y$43*C46</f>
        <v>#VALUE!</v>
      </c>
    </row>
    <row r="47" spans="1:7" x14ac:dyDescent="0.2">
      <c r="A47">
        <f>Gesamt!Y7</f>
        <v>0</v>
      </c>
      <c r="B47">
        <f>Gesamt!Z7</f>
        <v>0</v>
      </c>
      <c r="C47" t="str">
        <f>Gesamt!AA7</f>
        <v xml:space="preserve"> </v>
      </c>
      <c r="D47">
        <f>Gesamt!Z$2</f>
        <v>0</v>
      </c>
      <c r="E47" s="144" t="str">
        <f>Gesamt!$A$3</f>
        <v>Prof. Dr. Benjamin Buchwitz</v>
      </c>
      <c r="F47" t="b">
        <f>AND(C47,Gesamt!Y$45)</f>
        <v>0</v>
      </c>
      <c r="G47" t="e">
        <f>Gesamt!Y$43*C47</f>
        <v>#VALUE!</v>
      </c>
    </row>
    <row r="48" spans="1:7" x14ac:dyDescent="0.2">
      <c r="A48">
        <f>Gesamt!Y8</f>
        <v>0</v>
      </c>
      <c r="B48">
        <f>Gesamt!Z8</f>
        <v>0</v>
      </c>
      <c r="C48" t="str">
        <f>Gesamt!AA8</f>
        <v xml:space="preserve"> </v>
      </c>
      <c r="D48">
        <f>Gesamt!Z$2</f>
        <v>0</v>
      </c>
      <c r="E48" s="144" t="str">
        <f>Gesamt!$A$3</f>
        <v>Prof. Dr. Benjamin Buchwitz</v>
      </c>
      <c r="F48" t="b">
        <f>AND(C48,Gesamt!Y$45)</f>
        <v>0</v>
      </c>
      <c r="G48" t="e">
        <f>Gesamt!Y$43*C48</f>
        <v>#VALUE!</v>
      </c>
    </row>
    <row r="49" spans="1:7" x14ac:dyDescent="0.2">
      <c r="A49">
        <f>Gesamt!Y9</f>
        <v>0</v>
      </c>
      <c r="B49">
        <f>Gesamt!Z9</f>
        <v>0</v>
      </c>
      <c r="C49" t="str">
        <f>Gesamt!AA9</f>
        <v xml:space="preserve"> </v>
      </c>
      <c r="D49">
        <f>Gesamt!Z$2</f>
        <v>0</v>
      </c>
      <c r="E49" s="144" t="str">
        <f>Gesamt!$A$3</f>
        <v>Prof. Dr. Benjamin Buchwitz</v>
      </c>
      <c r="F49" t="b">
        <f>AND(C49,Gesamt!Y$45)</f>
        <v>0</v>
      </c>
      <c r="G49" t="e">
        <f>Gesamt!Y$43*C49</f>
        <v>#VALUE!</v>
      </c>
    </row>
    <row r="50" spans="1:7" x14ac:dyDescent="0.2">
      <c r="A50">
        <f>Gesamt!AB4</f>
        <v>0</v>
      </c>
      <c r="B50">
        <f>Gesamt!AC4</f>
        <v>0</v>
      </c>
      <c r="C50" t="b">
        <f>Gesamt!AD4</f>
        <v>1</v>
      </c>
      <c r="D50">
        <f>Gesamt!AC$2</f>
        <v>0</v>
      </c>
      <c r="E50" s="144" t="str">
        <f>Gesamt!$A$3</f>
        <v>Prof. Dr. Benjamin Buchwitz</v>
      </c>
      <c r="F50" t="b">
        <f>AND(C50,Gesamt!AB$45)</f>
        <v>0</v>
      </c>
      <c r="G50">
        <f>Gesamt!AB$43*C50</f>
        <v>0</v>
      </c>
    </row>
    <row r="51" spans="1:7" x14ac:dyDescent="0.2">
      <c r="A51">
        <f>Gesamt!AB5</f>
        <v>0</v>
      </c>
      <c r="B51">
        <f>Gesamt!AC5</f>
        <v>0</v>
      </c>
      <c r="C51" t="str">
        <f>Gesamt!AD5</f>
        <v xml:space="preserve"> </v>
      </c>
      <c r="D51">
        <f>Gesamt!AC$2</f>
        <v>0</v>
      </c>
      <c r="E51" s="144" t="str">
        <f>Gesamt!$A$3</f>
        <v>Prof. Dr. Benjamin Buchwitz</v>
      </c>
      <c r="F51" t="b">
        <f>AND(C51,Gesamt!AB$45)</f>
        <v>0</v>
      </c>
      <c r="G51" t="e">
        <f>Gesamt!AB$43*C51</f>
        <v>#VALUE!</v>
      </c>
    </row>
    <row r="52" spans="1:7" x14ac:dyDescent="0.2">
      <c r="A52">
        <f>Gesamt!AB6</f>
        <v>0</v>
      </c>
      <c r="B52">
        <f>Gesamt!AC6</f>
        <v>0</v>
      </c>
      <c r="C52" t="str">
        <f>Gesamt!AD6</f>
        <v xml:space="preserve"> </v>
      </c>
      <c r="D52">
        <f>Gesamt!AC$2</f>
        <v>0</v>
      </c>
      <c r="E52" s="144" t="str">
        <f>Gesamt!$A$3</f>
        <v>Prof. Dr. Benjamin Buchwitz</v>
      </c>
      <c r="F52" t="b">
        <f>AND(C52,Gesamt!AB$45)</f>
        <v>0</v>
      </c>
      <c r="G52" t="e">
        <f>Gesamt!AB$43*C52</f>
        <v>#VALUE!</v>
      </c>
    </row>
    <row r="53" spans="1:7" x14ac:dyDescent="0.2">
      <c r="A53">
        <f>Gesamt!AB7</f>
        <v>0</v>
      </c>
      <c r="B53">
        <f>Gesamt!AC7</f>
        <v>0</v>
      </c>
      <c r="C53" t="str">
        <f>Gesamt!AD7</f>
        <v xml:space="preserve"> </v>
      </c>
      <c r="D53">
        <f>Gesamt!AC$2</f>
        <v>0</v>
      </c>
      <c r="E53" s="144" t="str">
        <f>Gesamt!$A$3</f>
        <v>Prof. Dr. Benjamin Buchwitz</v>
      </c>
      <c r="F53" t="b">
        <f>AND(C53,Gesamt!AB$45)</f>
        <v>0</v>
      </c>
      <c r="G53" t="e">
        <f>Gesamt!AB$43*C53</f>
        <v>#VALUE!</v>
      </c>
    </row>
    <row r="54" spans="1:7" x14ac:dyDescent="0.2">
      <c r="A54">
        <f>Gesamt!AB8</f>
        <v>0</v>
      </c>
      <c r="B54">
        <f>Gesamt!AC8</f>
        <v>0</v>
      </c>
      <c r="C54" t="str">
        <f>Gesamt!AD8</f>
        <v xml:space="preserve"> </v>
      </c>
      <c r="D54">
        <f>Gesamt!AC$2</f>
        <v>0</v>
      </c>
      <c r="E54" s="144" t="str">
        <f>Gesamt!$A$3</f>
        <v>Prof. Dr. Benjamin Buchwitz</v>
      </c>
      <c r="F54" t="b">
        <f>AND(C54,Gesamt!AB$45)</f>
        <v>0</v>
      </c>
      <c r="G54" t="e">
        <f>Gesamt!AB$43*C54</f>
        <v>#VALUE!</v>
      </c>
    </row>
    <row r="55" spans="1:7" x14ac:dyDescent="0.2">
      <c r="A55">
        <f>Gesamt!AB9</f>
        <v>0</v>
      </c>
      <c r="B55">
        <f>Gesamt!AC9</f>
        <v>0</v>
      </c>
      <c r="C55" t="str">
        <f>Gesamt!AD9</f>
        <v xml:space="preserve"> </v>
      </c>
      <c r="D55">
        <f>Gesamt!AC$2</f>
        <v>0</v>
      </c>
      <c r="E55" s="144" t="str">
        <f>Gesamt!$A$3</f>
        <v>Prof. Dr. Benjamin Buchwitz</v>
      </c>
      <c r="F55" t="b">
        <f>AND(C55,Gesamt!AB$45)</f>
        <v>0</v>
      </c>
      <c r="G55" t="e">
        <f>Gesamt!AB$43*C55</f>
        <v>#VALUE!</v>
      </c>
    </row>
    <row r="56" spans="1:7" x14ac:dyDescent="0.2">
      <c r="A56">
        <f>Gesamt!AE4</f>
        <v>0</v>
      </c>
      <c r="B56">
        <f>Gesamt!AF4</f>
        <v>0</v>
      </c>
      <c r="C56" t="b">
        <f>Gesamt!AG4</f>
        <v>1</v>
      </c>
      <c r="D56">
        <f>Gesamt!AF$2</f>
        <v>0</v>
      </c>
      <c r="E56" s="144" t="str">
        <f>Gesamt!$A$3</f>
        <v>Prof. Dr. Benjamin Buchwitz</v>
      </c>
      <c r="F56" t="b">
        <f>AND(C56,Gesamt!AE$45)</f>
        <v>0</v>
      </c>
      <c r="G56">
        <f>Gesamt!AE$43*C56</f>
        <v>0</v>
      </c>
    </row>
    <row r="57" spans="1:7" x14ac:dyDescent="0.2">
      <c r="A57">
        <f>Gesamt!AE5</f>
        <v>0</v>
      </c>
      <c r="B57">
        <f>Gesamt!AF5</f>
        <v>0</v>
      </c>
      <c r="C57" t="str">
        <f>Gesamt!AG5</f>
        <v xml:space="preserve"> </v>
      </c>
      <c r="D57">
        <f>Gesamt!AF$2</f>
        <v>0</v>
      </c>
      <c r="E57" s="144" t="str">
        <f>Gesamt!$A$3</f>
        <v>Prof. Dr. Benjamin Buchwitz</v>
      </c>
      <c r="F57" t="b">
        <f>AND(C57,Gesamt!AE$45)</f>
        <v>0</v>
      </c>
      <c r="G57" t="e">
        <f>Gesamt!AE$43*C57</f>
        <v>#VALUE!</v>
      </c>
    </row>
    <row r="58" spans="1:7" x14ac:dyDescent="0.2">
      <c r="A58">
        <f>Gesamt!AE6</f>
        <v>0</v>
      </c>
      <c r="B58">
        <f>Gesamt!AF6</f>
        <v>0</v>
      </c>
      <c r="C58" t="str">
        <f>Gesamt!AG6</f>
        <v xml:space="preserve"> </v>
      </c>
      <c r="D58">
        <f>Gesamt!AF$2</f>
        <v>0</v>
      </c>
      <c r="E58" s="144" t="str">
        <f>Gesamt!$A$3</f>
        <v>Prof. Dr. Benjamin Buchwitz</v>
      </c>
      <c r="F58" t="b">
        <f>AND(C58,Gesamt!AE$45)</f>
        <v>0</v>
      </c>
      <c r="G58" t="e">
        <f>Gesamt!AE$43*C58</f>
        <v>#VALUE!</v>
      </c>
    </row>
    <row r="59" spans="1:7" x14ac:dyDescent="0.2">
      <c r="A59">
        <f>Gesamt!AE7</f>
        <v>0</v>
      </c>
      <c r="B59">
        <f>Gesamt!AF7</f>
        <v>0</v>
      </c>
      <c r="C59" t="str">
        <f>Gesamt!AG7</f>
        <v xml:space="preserve"> </v>
      </c>
      <c r="D59">
        <f>Gesamt!AF$2</f>
        <v>0</v>
      </c>
      <c r="E59" s="144" t="str">
        <f>Gesamt!$A$3</f>
        <v>Prof. Dr. Benjamin Buchwitz</v>
      </c>
      <c r="F59" t="b">
        <f>AND(C59,Gesamt!AE$45)</f>
        <v>0</v>
      </c>
      <c r="G59" t="e">
        <f>Gesamt!AE$43*C59</f>
        <v>#VALUE!</v>
      </c>
    </row>
    <row r="60" spans="1:7" x14ac:dyDescent="0.2">
      <c r="A60">
        <f>Gesamt!AE8</f>
        <v>0</v>
      </c>
      <c r="B60">
        <f>Gesamt!AF8</f>
        <v>0</v>
      </c>
      <c r="C60" t="str">
        <f>Gesamt!AG8</f>
        <v xml:space="preserve"> </v>
      </c>
      <c r="D60">
        <f>Gesamt!AF$2</f>
        <v>0</v>
      </c>
      <c r="E60" s="144" t="str">
        <f>Gesamt!$A$3</f>
        <v>Prof. Dr. Benjamin Buchwitz</v>
      </c>
      <c r="F60" t="b">
        <f>AND(C60,Gesamt!AE$45)</f>
        <v>0</v>
      </c>
      <c r="G60" t="e">
        <f>Gesamt!AE$43*C60</f>
        <v>#VALUE!</v>
      </c>
    </row>
    <row r="61" spans="1:7" x14ac:dyDescent="0.2">
      <c r="A61">
        <f>Gesamt!AE9</f>
        <v>0</v>
      </c>
      <c r="B61">
        <f>Gesamt!AF9</f>
        <v>0</v>
      </c>
      <c r="C61" t="str">
        <f>Gesamt!AG9</f>
        <v xml:space="preserve"> </v>
      </c>
      <c r="D61">
        <f>Gesamt!AF$2</f>
        <v>0</v>
      </c>
      <c r="E61" s="144" t="str">
        <f>Gesamt!$A$3</f>
        <v>Prof. Dr. Benjamin Buchwitz</v>
      </c>
      <c r="F61" t="b">
        <f>AND(C61,Gesamt!AE$45)</f>
        <v>0</v>
      </c>
      <c r="G61" t="e">
        <f>Gesamt!AE$43*C61</f>
        <v>#VALUE!</v>
      </c>
    </row>
    <row r="62" spans="1:7" x14ac:dyDescent="0.2">
      <c r="A62">
        <f>Gesamt!AH4</f>
        <v>0</v>
      </c>
      <c r="B62">
        <f>Gesamt!AI4</f>
        <v>0</v>
      </c>
      <c r="C62" t="b">
        <f>Gesamt!AJ4</f>
        <v>1</v>
      </c>
      <c r="D62">
        <f>Gesamt!AI$2</f>
        <v>0</v>
      </c>
      <c r="E62" s="144" t="str">
        <f>Gesamt!$A$3</f>
        <v>Prof. Dr. Benjamin Buchwitz</v>
      </c>
      <c r="F62" t="b">
        <f>AND(C62,Gesamt!AH$45)</f>
        <v>0</v>
      </c>
      <c r="G62">
        <f>Gesamt!AH$43*C62</f>
        <v>0</v>
      </c>
    </row>
    <row r="63" spans="1:7" x14ac:dyDescent="0.2">
      <c r="A63">
        <f>Gesamt!AH5</f>
        <v>0</v>
      </c>
      <c r="B63">
        <f>Gesamt!AI5</f>
        <v>0</v>
      </c>
      <c r="C63" t="str">
        <f>Gesamt!AJ5</f>
        <v xml:space="preserve"> </v>
      </c>
      <c r="D63">
        <f>Gesamt!AI$2</f>
        <v>0</v>
      </c>
      <c r="E63" s="144" t="str">
        <f>Gesamt!$A$3</f>
        <v>Prof. Dr. Benjamin Buchwitz</v>
      </c>
      <c r="F63" t="b">
        <f>AND(C63,Gesamt!AH$45)</f>
        <v>0</v>
      </c>
      <c r="G63" t="e">
        <f>Gesamt!AH$43*C63</f>
        <v>#VALUE!</v>
      </c>
    </row>
    <row r="64" spans="1:7" x14ac:dyDescent="0.2">
      <c r="A64">
        <f>Gesamt!AH6</f>
        <v>0</v>
      </c>
      <c r="B64">
        <f>Gesamt!AI6</f>
        <v>0</v>
      </c>
      <c r="C64" t="str">
        <f>Gesamt!AJ6</f>
        <v xml:space="preserve"> </v>
      </c>
      <c r="D64">
        <f>Gesamt!AI$2</f>
        <v>0</v>
      </c>
      <c r="E64" s="144" t="str">
        <f>Gesamt!$A$3</f>
        <v>Prof. Dr. Benjamin Buchwitz</v>
      </c>
      <c r="F64" t="b">
        <f>AND(C64,Gesamt!AH$45)</f>
        <v>0</v>
      </c>
      <c r="G64" t="e">
        <f>Gesamt!AH$43*C64</f>
        <v>#VALUE!</v>
      </c>
    </row>
    <row r="65" spans="1:7" x14ac:dyDescent="0.2">
      <c r="A65">
        <f>Gesamt!AH7</f>
        <v>0</v>
      </c>
      <c r="B65">
        <f>Gesamt!AI7</f>
        <v>0</v>
      </c>
      <c r="C65" t="str">
        <f>Gesamt!AJ7</f>
        <v xml:space="preserve"> </v>
      </c>
      <c r="D65">
        <f>Gesamt!AI$2</f>
        <v>0</v>
      </c>
      <c r="E65" s="144" t="str">
        <f>Gesamt!$A$3</f>
        <v>Prof. Dr. Benjamin Buchwitz</v>
      </c>
      <c r="F65" t="b">
        <f>AND(C65,Gesamt!AH$45)</f>
        <v>0</v>
      </c>
      <c r="G65" t="e">
        <f>Gesamt!AH$43*C65</f>
        <v>#VALUE!</v>
      </c>
    </row>
    <row r="66" spans="1:7" x14ac:dyDescent="0.2">
      <c r="A66">
        <f>Gesamt!AH8</f>
        <v>0</v>
      </c>
      <c r="B66">
        <f>Gesamt!AI8</f>
        <v>0</v>
      </c>
      <c r="C66" t="str">
        <f>Gesamt!AJ8</f>
        <v xml:space="preserve"> </v>
      </c>
      <c r="D66">
        <f>Gesamt!AI$2</f>
        <v>0</v>
      </c>
      <c r="E66" s="144" t="str">
        <f>Gesamt!$A$3</f>
        <v>Prof. Dr. Benjamin Buchwitz</v>
      </c>
      <c r="F66" t="b">
        <f>AND(C66,Gesamt!AH$45)</f>
        <v>0</v>
      </c>
      <c r="G66" t="e">
        <f>Gesamt!AH$43*C66</f>
        <v>#VALUE!</v>
      </c>
    </row>
    <row r="67" spans="1:7" x14ac:dyDescent="0.2">
      <c r="A67">
        <f>Gesamt!AH9</f>
        <v>0</v>
      </c>
      <c r="B67">
        <f>Gesamt!AI9</f>
        <v>0</v>
      </c>
      <c r="C67" t="str">
        <f>Gesamt!AJ9</f>
        <v xml:space="preserve"> </v>
      </c>
      <c r="D67">
        <f>Gesamt!AI$2</f>
        <v>0</v>
      </c>
      <c r="E67" s="144" t="str">
        <f>Gesamt!$A$3</f>
        <v>Prof. Dr. Benjamin Buchwitz</v>
      </c>
      <c r="F67" t="b">
        <f>AND(C67,Gesamt!AH$45)</f>
        <v>0</v>
      </c>
      <c r="G67" t="e">
        <f>Gesamt!AH$43*C67</f>
        <v>#VALUE!</v>
      </c>
    </row>
    <row r="68" spans="1:7" x14ac:dyDescent="0.2">
      <c r="A68">
        <f>Gesamt!AK4</f>
        <v>0</v>
      </c>
      <c r="B68">
        <f>Gesamt!AL4</f>
        <v>0</v>
      </c>
      <c r="C68" t="b">
        <f>Gesamt!AM4</f>
        <v>1</v>
      </c>
      <c r="D68">
        <f>Gesamt!AL$2</f>
        <v>0</v>
      </c>
      <c r="E68" s="144" t="str">
        <f>Gesamt!$A$3</f>
        <v>Prof. Dr. Benjamin Buchwitz</v>
      </c>
      <c r="F68" t="b">
        <f>AND(C68,Gesamt!AK$45)</f>
        <v>0</v>
      </c>
      <c r="G68">
        <f>Gesamt!AK$43*C68</f>
        <v>0</v>
      </c>
    </row>
    <row r="69" spans="1:7" x14ac:dyDescent="0.2">
      <c r="A69">
        <f>Gesamt!AK5</f>
        <v>0</v>
      </c>
      <c r="B69">
        <f>Gesamt!AL5</f>
        <v>0</v>
      </c>
      <c r="C69" t="str">
        <f>Gesamt!AM5</f>
        <v xml:space="preserve"> </v>
      </c>
      <c r="D69">
        <f>Gesamt!AL$2</f>
        <v>0</v>
      </c>
      <c r="E69" s="144" t="str">
        <f>Gesamt!$A$3</f>
        <v>Prof. Dr. Benjamin Buchwitz</v>
      </c>
      <c r="F69" t="b">
        <f>AND(C69,Gesamt!AK$45)</f>
        <v>0</v>
      </c>
      <c r="G69" t="e">
        <f>Gesamt!AK$43*C69</f>
        <v>#VALUE!</v>
      </c>
    </row>
    <row r="70" spans="1:7" x14ac:dyDescent="0.2">
      <c r="A70">
        <f>Gesamt!AK6</f>
        <v>0</v>
      </c>
      <c r="B70">
        <f>Gesamt!AL6</f>
        <v>0</v>
      </c>
      <c r="C70" t="str">
        <f>Gesamt!AM6</f>
        <v xml:space="preserve"> </v>
      </c>
      <c r="D70">
        <f>Gesamt!AL$2</f>
        <v>0</v>
      </c>
      <c r="E70" s="144" t="str">
        <f>Gesamt!$A$3</f>
        <v>Prof. Dr. Benjamin Buchwitz</v>
      </c>
      <c r="F70" t="b">
        <f>AND(C70,Gesamt!AK$45)</f>
        <v>0</v>
      </c>
      <c r="G70" t="e">
        <f>Gesamt!AK$43*C70</f>
        <v>#VALUE!</v>
      </c>
    </row>
    <row r="71" spans="1:7" x14ac:dyDescent="0.2">
      <c r="A71">
        <f>Gesamt!AK7</f>
        <v>0</v>
      </c>
      <c r="B71">
        <f>Gesamt!AL7</f>
        <v>0</v>
      </c>
      <c r="C71" t="str">
        <f>Gesamt!AM7</f>
        <v xml:space="preserve"> </v>
      </c>
      <c r="D71">
        <f>Gesamt!AL$2</f>
        <v>0</v>
      </c>
      <c r="E71" s="144" t="str">
        <f>Gesamt!$A$3</f>
        <v>Prof. Dr. Benjamin Buchwitz</v>
      </c>
      <c r="F71" t="b">
        <f>AND(C71,Gesamt!AK$45)</f>
        <v>0</v>
      </c>
      <c r="G71" t="e">
        <f>Gesamt!AK$43*C71</f>
        <v>#VALUE!</v>
      </c>
    </row>
    <row r="72" spans="1:7" x14ac:dyDescent="0.2">
      <c r="A72">
        <f>Gesamt!AK8</f>
        <v>0</v>
      </c>
      <c r="B72">
        <f>Gesamt!AL8</f>
        <v>0</v>
      </c>
      <c r="C72" t="str">
        <f>Gesamt!AM8</f>
        <v xml:space="preserve"> </v>
      </c>
      <c r="D72">
        <f>Gesamt!AL$2</f>
        <v>0</v>
      </c>
      <c r="E72" s="144" t="str">
        <f>Gesamt!$A$3</f>
        <v>Prof. Dr. Benjamin Buchwitz</v>
      </c>
      <c r="F72" t="b">
        <f>AND(C72,Gesamt!AK$45)</f>
        <v>0</v>
      </c>
      <c r="G72" t="e">
        <f>Gesamt!AK$43*C72</f>
        <v>#VALUE!</v>
      </c>
    </row>
    <row r="73" spans="1:7" x14ac:dyDescent="0.2">
      <c r="A73">
        <f>Gesamt!AK9</f>
        <v>0</v>
      </c>
      <c r="B73">
        <f>Gesamt!AL9</f>
        <v>0</v>
      </c>
      <c r="C73" t="str">
        <f>Gesamt!AM9</f>
        <v xml:space="preserve"> </v>
      </c>
      <c r="D73">
        <f>Gesamt!AL$2</f>
        <v>0</v>
      </c>
      <c r="E73" s="144" t="str">
        <f>Gesamt!$A$3</f>
        <v>Prof. Dr. Benjamin Buchwitz</v>
      </c>
      <c r="F73" t="b">
        <f>AND(C73,Gesamt!AK$45)</f>
        <v>0</v>
      </c>
      <c r="G73" t="e">
        <f>Gesamt!AK$43*C73</f>
        <v>#VALUE!</v>
      </c>
    </row>
    <row r="74" spans="1:7" x14ac:dyDescent="0.2">
      <c r="A74">
        <f>Gesamt!AN4</f>
        <v>0</v>
      </c>
      <c r="B74">
        <f>Gesamt!AO4</f>
        <v>0</v>
      </c>
      <c r="C74" t="b">
        <f>Gesamt!AP4</f>
        <v>1</v>
      </c>
      <c r="D74">
        <f>Gesamt!AO$2</f>
        <v>0</v>
      </c>
      <c r="E74" s="144" t="str">
        <f>Gesamt!$A$3</f>
        <v>Prof. Dr. Benjamin Buchwitz</v>
      </c>
      <c r="F74" t="b">
        <f>AND(C74,Gesamt!AN$45)</f>
        <v>0</v>
      </c>
      <c r="G74">
        <f>Gesamt!AN$43*C74</f>
        <v>0</v>
      </c>
    </row>
    <row r="75" spans="1:7" x14ac:dyDescent="0.2">
      <c r="A75">
        <f>Gesamt!AN5</f>
        <v>0</v>
      </c>
      <c r="B75">
        <f>Gesamt!AO5</f>
        <v>0</v>
      </c>
      <c r="C75" t="str">
        <f>Gesamt!AP5</f>
        <v xml:space="preserve"> </v>
      </c>
      <c r="D75">
        <f>Gesamt!AO$2</f>
        <v>0</v>
      </c>
      <c r="E75" s="144" t="str">
        <f>Gesamt!$A$3</f>
        <v>Prof. Dr. Benjamin Buchwitz</v>
      </c>
      <c r="F75" t="b">
        <f>AND(C75,Gesamt!AN$45)</f>
        <v>0</v>
      </c>
      <c r="G75" t="e">
        <f>Gesamt!AN$43*C75</f>
        <v>#VALUE!</v>
      </c>
    </row>
    <row r="76" spans="1:7" x14ac:dyDescent="0.2">
      <c r="A76">
        <f>Gesamt!AN6</f>
        <v>0</v>
      </c>
      <c r="B76">
        <f>Gesamt!AO6</f>
        <v>0</v>
      </c>
      <c r="C76" t="str">
        <f>Gesamt!AP6</f>
        <v xml:space="preserve"> </v>
      </c>
      <c r="D76">
        <f>Gesamt!AO$2</f>
        <v>0</v>
      </c>
      <c r="E76" s="144" t="str">
        <f>Gesamt!$A$3</f>
        <v>Prof. Dr. Benjamin Buchwitz</v>
      </c>
      <c r="F76" t="b">
        <f>AND(C76,Gesamt!AN$45)</f>
        <v>0</v>
      </c>
      <c r="G76" t="e">
        <f>Gesamt!AN$43*C76</f>
        <v>#VALUE!</v>
      </c>
    </row>
    <row r="77" spans="1:7" x14ac:dyDescent="0.2">
      <c r="A77">
        <f>Gesamt!AN7</f>
        <v>0</v>
      </c>
      <c r="B77">
        <f>Gesamt!AO7</f>
        <v>0</v>
      </c>
      <c r="C77" t="str">
        <f>Gesamt!AP7</f>
        <v xml:space="preserve"> </v>
      </c>
      <c r="D77">
        <f>Gesamt!AO$2</f>
        <v>0</v>
      </c>
      <c r="E77" s="144" t="str">
        <f>Gesamt!$A$3</f>
        <v>Prof. Dr. Benjamin Buchwitz</v>
      </c>
      <c r="F77" t="b">
        <f>AND(C77,Gesamt!AN$45)</f>
        <v>0</v>
      </c>
      <c r="G77" t="e">
        <f>Gesamt!AN$43*C77</f>
        <v>#VALUE!</v>
      </c>
    </row>
    <row r="78" spans="1:7" x14ac:dyDescent="0.2">
      <c r="A78">
        <f>Gesamt!AN8</f>
        <v>0</v>
      </c>
      <c r="B78">
        <f>Gesamt!AO8</f>
        <v>0</v>
      </c>
      <c r="C78" t="str">
        <f>Gesamt!AP8</f>
        <v xml:space="preserve"> </v>
      </c>
      <c r="D78">
        <f>Gesamt!AO$2</f>
        <v>0</v>
      </c>
      <c r="E78" s="144" t="str">
        <f>Gesamt!$A$3</f>
        <v>Prof. Dr. Benjamin Buchwitz</v>
      </c>
      <c r="F78" t="b">
        <f>AND(C78,Gesamt!AN$45)</f>
        <v>0</v>
      </c>
      <c r="G78" t="e">
        <f>Gesamt!AN$43*C78</f>
        <v>#VALUE!</v>
      </c>
    </row>
    <row r="79" spans="1:7" x14ac:dyDescent="0.2">
      <c r="A79">
        <f>Gesamt!AN9</f>
        <v>0</v>
      </c>
      <c r="B79">
        <f>Gesamt!AO9</f>
        <v>0</v>
      </c>
      <c r="C79" t="str">
        <f>Gesamt!AP9</f>
        <v xml:space="preserve"> </v>
      </c>
      <c r="D79">
        <f>Gesamt!AO$2</f>
        <v>0</v>
      </c>
      <c r="E79" s="144" t="str">
        <f>Gesamt!$A$3</f>
        <v>Prof. Dr. Benjamin Buchwitz</v>
      </c>
      <c r="F79" t="b">
        <f>AND(C79,Gesamt!AN$45)</f>
        <v>0</v>
      </c>
      <c r="G79" t="e">
        <f>Gesamt!AN$43*C79</f>
        <v>#VALUE!</v>
      </c>
    </row>
  </sheetData>
  <autoFilter ref="A1:G79" xr:uid="{CEFAFD33-7D4C-4C4F-8E98-AB0D091828C5}"/>
  <phoneticPr fontId="13" type="noConversion"/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0BB3-A774-9440-84A3-4CA16D2D35C8}">
  <sheetPr codeName="Tabelle2">
    <tabColor rgb="FF00B050"/>
  </sheetPr>
  <dimension ref="A1:AP46"/>
  <sheetViews>
    <sheetView zoomScale="130" zoomScaleNormal="130" workbookViewId="0">
      <pane xSplit="3" ySplit="2" topLeftCell="D7" activePane="bottomRight" state="frozen"/>
      <selection pane="topRight" activeCell="D1" sqref="D1"/>
      <selection pane="bottomLeft" activeCell="A3" sqref="A3"/>
      <selection pane="bottomRight" activeCell="E13" sqref="E13:F13"/>
    </sheetView>
  </sheetViews>
  <sheetFormatPr baseColWidth="10" defaultRowHeight="16" x14ac:dyDescent="0.2"/>
  <cols>
    <col min="1" max="1" width="46.6640625" style="1" customWidth="1"/>
    <col min="2" max="2" width="33" style="25" customWidth="1"/>
    <col min="3" max="3" width="11" style="2" customWidth="1"/>
    <col min="4" max="4" width="12.83203125" style="37" customWidth="1"/>
    <col min="5" max="5" width="32.83203125" style="96" customWidth="1"/>
    <col min="6" max="6" width="8.83203125" style="89" customWidth="1"/>
    <col min="7" max="7" width="12.83203125" customWidth="1"/>
    <col min="8" max="8" width="32.83203125" style="119" customWidth="1"/>
    <col min="9" max="9" width="8.83203125" style="120" customWidth="1"/>
    <col min="10" max="10" width="12.83203125" customWidth="1"/>
    <col min="11" max="11" width="32.83203125" style="100" customWidth="1"/>
    <col min="12" max="12" width="8.83203125" style="75" customWidth="1"/>
    <col min="13" max="13" width="12.83203125" style="99" customWidth="1"/>
    <col min="14" max="14" width="32.83203125" style="105" customWidth="1"/>
    <col min="15" max="15" width="8.83203125" style="106" customWidth="1"/>
    <col min="16" max="16" width="12.83203125" style="99" customWidth="1"/>
    <col min="17" max="17" width="32.83203125" style="105" customWidth="1"/>
    <col min="18" max="18" width="8.83203125" style="106" customWidth="1"/>
    <col min="19" max="19" width="12.83203125" style="99" customWidth="1"/>
    <col min="20" max="20" width="32.83203125" style="105" customWidth="1"/>
    <col min="21" max="21" width="8.83203125" style="106" customWidth="1"/>
    <col min="22" max="22" width="12.83203125" style="99" customWidth="1"/>
    <col min="23" max="23" width="32.83203125" style="100" customWidth="1"/>
    <col min="24" max="24" width="8.83203125" style="75" customWidth="1"/>
    <col min="25" max="25" width="12.83203125" style="99" customWidth="1"/>
    <col min="26" max="26" width="32.83203125" style="100" customWidth="1"/>
    <col min="27" max="27" width="8.83203125" style="75" customWidth="1"/>
    <col min="28" max="28" width="12.83203125" style="99" customWidth="1"/>
    <col min="29" max="29" width="32.83203125" style="100" customWidth="1"/>
    <col min="30" max="30" width="8.83203125" style="75" customWidth="1"/>
    <col min="31" max="31" width="12.83203125" style="99" customWidth="1"/>
    <col min="32" max="32" width="32.83203125" style="100" customWidth="1"/>
    <col min="33" max="33" width="8.83203125" style="75" customWidth="1"/>
    <col min="34" max="34" width="12.83203125" style="99" customWidth="1"/>
    <col min="35" max="35" width="32.83203125" style="99" customWidth="1"/>
    <col min="36" max="36" width="8.83203125" style="33" customWidth="1"/>
    <col min="37" max="37" width="12.83203125" style="99" customWidth="1"/>
    <col min="38" max="38" width="32.83203125" style="99" customWidth="1"/>
    <col min="39" max="39" width="8.83203125" style="33" customWidth="1"/>
    <col min="40" max="40" width="12.83203125" style="99" customWidth="1"/>
    <col min="41" max="41" width="33" style="99" customWidth="1"/>
    <col min="42" max="42" width="8.83203125" style="33" customWidth="1"/>
  </cols>
  <sheetData>
    <row r="1" spans="1:42" s="45" customFormat="1" ht="17" x14ac:dyDescent="0.2">
      <c r="A1" s="41" t="s">
        <v>67</v>
      </c>
      <c r="B1" s="42"/>
      <c r="C1" s="43"/>
      <c r="D1" s="44" t="str">
        <f>"Gruppe: " &amp; E2</f>
        <v xml:space="preserve">Gruppe: </v>
      </c>
      <c r="E1" s="90"/>
      <c r="F1" s="85"/>
      <c r="G1" s="79" t="str">
        <f t="shared" ref="G1" si="0">"Gruppe: " &amp; H2</f>
        <v xml:space="preserve">Gruppe: </v>
      </c>
      <c r="H1" s="111"/>
      <c r="I1" s="112"/>
      <c r="J1" s="79" t="str">
        <f t="shared" ref="J1" si="1">"Gruppe: " &amp; K2</f>
        <v xml:space="preserve">Gruppe: </v>
      </c>
      <c r="K1" s="92"/>
      <c r="L1" s="85"/>
      <c r="M1" s="79" t="str">
        <f t="shared" ref="M1" si="2">"Gruppe: " &amp; N2</f>
        <v xml:space="preserve">Gruppe: </v>
      </c>
      <c r="N1" s="81"/>
      <c r="O1" s="82"/>
      <c r="P1" s="79" t="str">
        <f t="shared" ref="P1" si="3">"Gruppe: " &amp; Q2</f>
        <v xml:space="preserve">Gruppe: </v>
      </c>
      <c r="Q1" s="81"/>
      <c r="R1" s="82"/>
      <c r="S1" s="79" t="str">
        <f t="shared" ref="S1" si="4">"Gruppe: " &amp; T2</f>
        <v xml:space="preserve">Gruppe: </v>
      </c>
      <c r="T1" s="81"/>
      <c r="U1" s="82"/>
      <c r="V1" s="79" t="str">
        <f t="shared" ref="V1" si="5">"Gruppe: " &amp; W2</f>
        <v xml:space="preserve">Gruppe: </v>
      </c>
      <c r="W1" s="92"/>
      <c r="X1" s="85"/>
      <c r="Y1" s="79" t="str">
        <f t="shared" ref="Y1" si="6">"Gruppe: " &amp; Z2</f>
        <v xml:space="preserve">Gruppe: </v>
      </c>
      <c r="Z1" s="92"/>
      <c r="AA1" s="85"/>
      <c r="AB1" s="79" t="str">
        <f t="shared" ref="AB1" si="7">"Gruppe: " &amp; AC2</f>
        <v xml:space="preserve">Gruppe: </v>
      </c>
      <c r="AC1" s="92"/>
      <c r="AD1" s="85"/>
      <c r="AE1" s="79" t="str">
        <f t="shared" ref="AE1" si="8">"Gruppe: " &amp; AF2</f>
        <v xml:space="preserve">Gruppe: </v>
      </c>
      <c r="AF1" s="92"/>
      <c r="AG1" s="85"/>
      <c r="AH1" s="79" t="str">
        <f t="shared" ref="AH1" si="9">"Gruppe: " &amp; AI2</f>
        <v xml:space="preserve">Gruppe: </v>
      </c>
      <c r="AI1" s="92"/>
      <c r="AJ1" s="85"/>
      <c r="AK1" s="79" t="str">
        <f t="shared" ref="AK1" si="10">"Gruppe: " &amp; AL2</f>
        <v xml:space="preserve">Gruppe: </v>
      </c>
      <c r="AL1" s="92"/>
      <c r="AM1" s="85"/>
      <c r="AN1" s="79" t="str">
        <f t="shared" ref="AN1" si="11">"Gruppe: " &amp; AO2</f>
        <v xml:space="preserve">Gruppe: </v>
      </c>
      <c r="AO1" s="92"/>
      <c r="AP1" s="85"/>
    </row>
    <row r="2" spans="1:42" s="13" customFormat="1" ht="17" x14ac:dyDescent="0.2">
      <c r="A2" s="11" t="s">
        <v>12</v>
      </c>
      <c r="B2" s="24"/>
      <c r="C2" s="12"/>
      <c r="D2" s="34" t="s">
        <v>18</v>
      </c>
      <c r="E2" s="191"/>
      <c r="F2" s="192"/>
      <c r="G2" s="14" t="s">
        <v>18</v>
      </c>
      <c r="H2" s="203"/>
      <c r="I2" s="204"/>
      <c r="J2" s="14" t="s">
        <v>18</v>
      </c>
      <c r="K2" s="207"/>
      <c r="L2" s="208"/>
      <c r="M2" s="77" t="s">
        <v>18</v>
      </c>
      <c r="N2" s="220"/>
      <c r="O2" s="221"/>
      <c r="P2" s="77" t="s">
        <v>18</v>
      </c>
      <c r="Q2" s="220"/>
      <c r="R2" s="221"/>
      <c r="S2" s="77" t="s">
        <v>18</v>
      </c>
      <c r="T2" s="220"/>
      <c r="U2" s="221"/>
      <c r="V2" s="77" t="s">
        <v>18</v>
      </c>
      <c r="W2" s="207"/>
      <c r="X2" s="208"/>
      <c r="Y2" s="77" t="s">
        <v>18</v>
      </c>
      <c r="Z2" s="207"/>
      <c r="AA2" s="208"/>
      <c r="AB2" s="77" t="s">
        <v>18</v>
      </c>
      <c r="AC2" s="207"/>
      <c r="AD2" s="208"/>
      <c r="AE2" s="77" t="s">
        <v>18</v>
      </c>
      <c r="AF2" s="207"/>
      <c r="AG2" s="208"/>
      <c r="AH2" s="77" t="s">
        <v>18</v>
      </c>
      <c r="AI2" s="207"/>
      <c r="AJ2" s="208"/>
      <c r="AK2" s="77" t="s">
        <v>18</v>
      </c>
      <c r="AL2" s="207"/>
      <c r="AM2" s="208"/>
      <c r="AN2" s="77" t="s">
        <v>18</v>
      </c>
      <c r="AO2" s="207"/>
      <c r="AP2" s="208"/>
    </row>
    <row r="3" spans="1:42" s="16" customFormat="1" ht="17" x14ac:dyDescent="0.2">
      <c r="A3" s="158" t="s">
        <v>15</v>
      </c>
      <c r="B3" s="30"/>
      <c r="C3" s="31"/>
      <c r="D3" s="35" t="s">
        <v>19</v>
      </c>
      <c r="E3" s="91" t="s">
        <v>14</v>
      </c>
      <c r="F3" s="84" t="s">
        <v>71</v>
      </c>
      <c r="G3" s="15" t="s">
        <v>19</v>
      </c>
      <c r="H3" s="113" t="s">
        <v>14</v>
      </c>
      <c r="I3" s="84" t="s">
        <v>71</v>
      </c>
      <c r="J3" s="15" t="s">
        <v>19</v>
      </c>
      <c r="K3" s="91" t="s">
        <v>14</v>
      </c>
      <c r="L3" s="84" t="s">
        <v>71</v>
      </c>
      <c r="M3" s="78" t="s">
        <v>19</v>
      </c>
      <c r="N3" s="83" t="s">
        <v>14</v>
      </c>
      <c r="O3" s="84" t="s">
        <v>71</v>
      </c>
      <c r="P3" s="78" t="s">
        <v>19</v>
      </c>
      <c r="Q3" s="83" t="s">
        <v>14</v>
      </c>
      <c r="R3" s="84" t="s">
        <v>71</v>
      </c>
      <c r="S3" s="78" t="s">
        <v>19</v>
      </c>
      <c r="T3" s="83" t="s">
        <v>14</v>
      </c>
      <c r="U3" s="84" t="s">
        <v>71</v>
      </c>
      <c r="V3" s="78" t="s">
        <v>19</v>
      </c>
      <c r="W3" s="91" t="s">
        <v>14</v>
      </c>
      <c r="X3" s="84" t="s">
        <v>71</v>
      </c>
      <c r="Y3" s="78" t="s">
        <v>19</v>
      </c>
      <c r="Z3" s="91" t="s">
        <v>14</v>
      </c>
      <c r="AA3" s="84" t="s">
        <v>71</v>
      </c>
      <c r="AB3" s="78" t="s">
        <v>19</v>
      </c>
      <c r="AC3" s="91" t="s">
        <v>14</v>
      </c>
      <c r="AD3" s="84" t="s">
        <v>71</v>
      </c>
      <c r="AE3" s="78" t="s">
        <v>19</v>
      </c>
      <c r="AF3" s="91" t="s">
        <v>14</v>
      </c>
      <c r="AG3" s="84" t="s">
        <v>71</v>
      </c>
      <c r="AH3" s="78" t="s">
        <v>19</v>
      </c>
      <c r="AI3" s="91" t="s">
        <v>14</v>
      </c>
      <c r="AJ3" s="84" t="s">
        <v>71</v>
      </c>
      <c r="AK3" s="78" t="s">
        <v>19</v>
      </c>
      <c r="AL3" s="91" t="s">
        <v>14</v>
      </c>
      <c r="AM3" s="84" t="s">
        <v>71</v>
      </c>
      <c r="AN3" s="78" t="s">
        <v>19</v>
      </c>
      <c r="AO3" s="91" t="s">
        <v>14</v>
      </c>
      <c r="AP3" s="84" t="s">
        <v>71</v>
      </c>
    </row>
    <row r="4" spans="1:42" s="176" customFormat="1" ht="17" x14ac:dyDescent="0.2">
      <c r="A4" s="11" t="s">
        <v>16</v>
      </c>
      <c r="B4" s="24"/>
      <c r="C4" s="12"/>
      <c r="D4" s="174"/>
      <c r="E4" s="175"/>
      <c r="F4" s="180" t="b">
        <v>1</v>
      </c>
      <c r="H4" s="177"/>
      <c r="I4" s="180" t="b">
        <v>1</v>
      </c>
      <c r="K4" s="175"/>
      <c r="L4" s="180" t="b">
        <v>1</v>
      </c>
      <c r="M4" s="178"/>
      <c r="N4" s="179"/>
      <c r="O4" s="180" t="b">
        <v>1</v>
      </c>
      <c r="P4" s="178"/>
      <c r="Q4" s="179"/>
      <c r="R4" s="180" t="b">
        <v>1</v>
      </c>
      <c r="S4" s="178"/>
      <c r="T4" s="179"/>
      <c r="U4" s="181" t="b">
        <v>1</v>
      </c>
      <c r="V4" s="178"/>
      <c r="W4" s="175"/>
      <c r="X4" s="180" t="b">
        <v>1</v>
      </c>
      <c r="Y4" s="178"/>
      <c r="Z4" s="175"/>
      <c r="AA4" s="180" t="b">
        <v>1</v>
      </c>
      <c r="AB4" s="178"/>
      <c r="AC4" s="175"/>
      <c r="AD4" s="180" t="b">
        <v>1</v>
      </c>
      <c r="AE4" s="178"/>
      <c r="AF4" s="175"/>
      <c r="AG4" s="180" t="b">
        <v>1</v>
      </c>
      <c r="AH4" s="178"/>
      <c r="AI4" s="175"/>
      <c r="AJ4" s="180" t="b">
        <v>1</v>
      </c>
      <c r="AK4" s="178"/>
      <c r="AL4" s="175"/>
      <c r="AM4" s="180" t="b">
        <v>1</v>
      </c>
      <c r="AN4" s="178"/>
      <c r="AO4" s="175"/>
      <c r="AP4" s="180" t="b">
        <v>1</v>
      </c>
    </row>
    <row r="5" spans="1:42" s="16" customFormat="1" x14ac:dyDescent="0.2">
      <c r="A5" s="159" t="s">
        <v>17</v>
      </c>
      <c r="B5" s="32"/>
      <c r="C5" s="31"/>
      <c r="D5" s="160"/>
      <c r="E5" s="161"/>
      <c r="F5" s="162" t="s">
        <v>72</v>
      </c>
      <c r="G5" s="159"/>
      <c r="H5" s="163"/>
      <c r="I5" s="162" t="s">
        <v>72</v>
      </c>
      <c r="J5" s="159"/>
      <c r="K5" s="161"/>
      <c r="L5" s="162" t="s">
        <v>72</v>
      </c>
      <c r="M5" s="164"/>
      <c r="N5" s="165"/>
      <c r="O5" s="162" t="s">
        <v>72</v>
      </c>
      <c r="P5" s="164"/>
      <c r="Q5" s="165"/>
      <c r="R5" s="162" t="s">
        <v>72</v>
      </c>
      <c r="S5" s="164"/>
      <c r="T5" s="165"/>
      <c r="U5" s="166" t="s">
        <v>72</v>
      </c>
      <c r="V5" s="164"/>
      <c r="W5" s="161"/>
      <c r="X5" s="162" t="s">
        <v>72</v>
      </c>
      <c r="Y5" s="164"/>
      <c r="Z5" s="161"/>
      <c r="AA5" s="162" t="s">
        <v>72</v>
      </c>
      <c r="AB5" s="164"/>
      <c r="AC5" s="161"/>
      <c r="AD5" s="162" t="s">
        <v>72</v>
      </c>
      <c r="AE5" s="164"/>
      <c r="AF5" s="161"/>
      <c r="AG5" s="162" t="s">
        <v>72</v>
      </c>
      <c r="AH5" s="164"/>
      <c r="AI5" s="161"/>
      <c r="AJ5" s="162" t="s">
        <v>72</v>
      </c>
      <c r="AK5" s="164"/>
      <c r="AL5" s="161"/>
      <c r="AM5" s="162" t="s">
        <v>72</v>
      </c>
      <c r="AN5" s="164"/>
      <c r="AO5" s="161"/>
      <c r="AP5" s="162" t="s">
        <v>72</v>
      </c>
    </row>
    <row r="6" spans="1:42" s="16" customFormat="1" x14ac:dyDescent="0.2">
      <c r="A6" s="29"/>
      <c r="B6" s="30"/>
      <c r="C6" s="31"/>
      <c r="D6" s="160"/>
      <c r="E6" s="161"/>
      <c r="F6" s="162" t="s">
        <v>72</v>
      </c>
      <c r="G6" s="159"/>
      <c r="H6" s="163"/>
      <c r="I6" s="162" t="s">
        <v>72</v>
      </c>
      <c r="J6" s="159"/>
      <c r="K6" s="161"/>
      <c r="L6" s="162" t="s">
        <v>72</v>
      </c>
      <c r="M6" s="164"/>
      <c r="N6" s="165"/>
      <c r="O6" s="162" t="s">
        <v>72</v>
      </c>
      <c r="P6" s="164"/>
      <c r="Q6" s="165"/>
      <c r="R6" s="162" t="s">
        <v>72</v>
      </c>
      <c r="S6" s="164"/>
      <c r="T6" s="165"/>
      <c r="U6" s="166" t="s">
        <v>72</v>
      </c>
      <c r="V6" s="164"/>
      <c r="W6" s="161"/>
      <c r="X6" s="162" t="s">
        <v>72</v>
      </c>
      <c r="Y6" s="164"/>
      <c r="Z6" s="161"/>
      <c r="AA6" s="162" t="s">
        <v>72</v>
      </c>
      <c r="AB6" s="164"/>
      <c r="AC6" s="161"/>
      <c r="AD6" s="162" t="s">
        <v>72</v>
      </c>
      <c r="AE6" s="164"/>
      <c r="AF6" s="161"/>
      <c r="AG6" s="162" t="s">
        <v>72</v>
      </c>
      <c r="AH6" s="164"/>
      <c r="AI6" s="161"/>
      <c r="AJ6" s="162" t="s">
        <v>72</v>
      </c>
      <c r="AK6" s="164"/>
      <c r="AL6" s="161"/>
      <c r="AM6" s="162" t="s">
        <v>72</v>
      </c>
      <c r="AN6" s="164"/>
      <c r="AO6" s="161"/>
      <c r="AP6" s="162" t="s">
        <v>72</v>
      </c>
    </row>
    <row r="7" spans="1:42" s="16" customFormat="1" x14ac:dyDescent="0.2">
      <c r="A7" s="29"/>
      <c r="B7" s="30"/>
      <c r="C7" s="31"/>
      <c r="D7" s="160"/>
      <c r="E7" s="161"/>
      <c r="F7" s="162" t="s">
        <v>72</v>
      </c>
      <c r="G7" s="159"/>
      <c r="H7" s="163"/>
      <c r="I7" s="162" t="s">
        <v>72</v>
      </c>
      <c r="J7" s="159"/>
      <c r="K7" s="161"/>
      <c r="L7" s="162" t="s">
        <v>72</v>
      </c>
      <c r="M7" s="164"/>
      <c r="N7" s="165"/>
      <c r="O7" s="162" t="s">
        <v>72</v>
      </c>
      <c r="P7" s="164"/>
      <c r="Q7" s="165"/>
      <c r="R7" s="162" t="s">
        <v>72</v>
      </c>
      <c r="S7" s="164"/>
      <c r="T7" s="165"/>
      <c r="U7" s="166" t="s">
        <v>72</v>
      </c>
      <c r="V7" s="164"/>
      <c r="W7" s="161"/>
      <c r="X7" s="162" t="s">
        <v>72</v>
      </c>
      <c r="Y7" s="164"/>
      <c r="Z7" s="161"/>
      <c r="AA7" s="162" t="s">
        <v>72</v>
      </c>
      <c r="AB7" s="164"/>
      <c r="AC7" s="161"/>
      <c r="AD7" s="162" t="s">
        <v>72</v>
      </c>
      <c r="AE7" s="164"/>
      <c r="AF7" s="161"/>
      <c r="AG7" s="162" t="s">
        <v>72</v>
      </c>
      <c r="AH7" s="164"/>
      <c r="AI7" s="161"/>
      <c r="AJ7" s="162" t="s">
        <v>72</v>
      </c>
      <c r="AK7" s="164"/>
      <c r="AL7" s="161"/>
      <c r="AM7" s="162" t="s">
        <v>72</v>
      </c>
      <c r="AN7" s="164"/>
      <c r="AO7" s="161"/>
      <c r="AP7" s="162" t="s">
        <v>72</v>
      </c>
    </row>
    <row r="8" spans="1:42" s="16" customFormat="1" x14ac:dyDescent="0.2">
      <c r="A8" s="29"/>
      <c r="B8" s="30"/>
      <c r="C8" s="31"/>
      <c r="D8" s="160"/>
      <c r="E8" s="161"/>
      <c r="F8" s="162" t="s">
        <v>72</v>
      </c>
      <c r="G8" s="159"/>
      <c r="H8" s="163"/>
      <c r="I8" s="162" t="s">
        <v>72</v>
      </c>
      <c r="J8" s="159"/>
      <c r="K8" s="161"/>
      <c r="L8" s="162" t="s">
        <v>72</v>
      </c>
      <c r="M8" s="159"/>
      <c r="N8" s="165"/>
      <c r="O8" s="162" t="s">
        <v>72</v>
      </c>
      <c r="P8" s="164"/>
      <c r="Q8" s="165"/>
      <c r="R8" s="162" t="s">
        <v>72</v>
      </c>
      <c r="S8" s="164"/>
      <c r="T8" s="165"/>
      <c r="U8" s="166" t="s">
        <v>72</v>
      </c>
      <c r="V8" s="164"/>
      <c r="W8" s="161"/>
      <c r="X8" s="162" t="s">
        <v>72</v>
      </c>
      <c r="Y8" s="164"/>
      <c r="Z8" s="161"/>
      <c r="AA8" s="162" t="s">
        <v>72</v>
      </c>
      <c r="AB8" s="164"/>
      <c r="AC8" s="161"/>
      <c r="AD8" s="162" t="s">
        <v>72</v>
      </c>
      <c r="AE8" s="164"/>
      <c r="AF8" s="161"/>
      <c r="AG8" s="162" t="s">
        <v>72</v>
      </c>
      <c r="AH8" s="164"/>
      <c r="AI8" s="161"/>
      <c r="AJ8" s="162" t="s">
        <v>72</v>
      </c>
      <c r="AK8" s="164"/>
      <c r="AL8" s="161"/>
      <c r="AM8" s="162" t="s">
        <v>72</v>
      </c>
      <c r="AN8" s="164"/>
      <c r="AO8" s="161"/>
      <c r="AP8" s="162" t="s">
        <v>72</v>
      </c>
    </row>
    <row r="9" spans="1:42" s="16" customFormat="1" x14ac:dyDescent="0.2">
      <c r="A9" s="29"/>
      <c r="B9" s="30"/>
      <c r="C9" s="31"/>
      <c r="D9" s="160"/>
      <c r="E9" s="161"/>
      <c r="F9" s="162" t="s">
        <v>72</v>
      </c>
      <c r="G9" s="159"/>
      <c r="H9" s="163"/>
      <c r="I9" s="162" t="s">
        <v>72</v>
      </c>
      <c r="J9" s="159"/>
      <c r="K9" s="161"/>
      <c r="L9" s="162" t="s">
        <v>72</v>
      </c>
      <c r="M9" s="164"/>
      <c r="N9" s="165"/>
      <c r="O9" s="162" t="s">
        <v>72</v>
      </c>
      <c r="P9" s="164"/>
      <c r="Q9" s="165"/>
      <c r="R9" s="162" t="s">
        <v>72</v>
      </c>
      <c r="S9" s="164"/>
      <c r="T9" s="165"/>
      <c r="U9" s="166" t="s">
        <v>72</v>
      </c>
      <c r="V9" s="164"/>
      <c r="W9" s="161"/>
      <c r="X9" s="162" t="s">
        <v>72</v>
      </c>
      <c r="Y9" s="164"/>
      <c r="Z9" s="161"/>
      <c r="AA9" s="162" t="s">
        <v>72</v>
      </c>
      <c r="AB9" s="164"/>
      <c r="AC9" s="161"/>
      <c r="AD9" s="162" t="s">
        <v>72</v>
      </c>
      <c r="AE9" s="164"/>
      <c r="AF9" s="161"/>
      <c r="AG9" s="162" t="s">
        <v>72</v>
      </c>
      <c r="AH9" s="164"/>
      <c r="AI9" s="161"/>
      <c r="AJ9" s="162" t="s">
        <v>72</v>
      </c>
      <c r="AK9" s="164"/>
      <c r="AL9" s="161"/>
      <c r="AM9" s="162" t="s">
        <v>72</v>
      </c>
      <c r="AN9" s="164"/>
      <c r="AO9" s="161"/>
      <c r="AP9" s="162" t="s">
        <v>72</v>
      </c>
    </row>
    <row r="10" spans="1:42" s="45" customFormat="1" ht="17" x14ac:dyDescent="0.2">
      <c r="A10" s="41" t="s">
        <v>9</v>
      </c>
      <c r="B10" s="42"/>
      <c r="C10" s="43"/>
      <c r="D10" s="44" t="str">
        <f>"Gruppe: " &amp; E2</f>
        <v xml:space="preserve">Gruppe: </v>
      </c>
      <c r="E10" s="92"/>
      <c r="F10" s="85"/>
      <c r="G10" s="79" t="str">
        <f t="shared" ref="G10" si="12">"Gruppe: " &amp; H2</f>
        <v xml:space="preserve">Gruppe: </v>
      </c>
      <c r="H10" s="114"/>
      <c r="I10" s="112"/>
      <c r="J10" s="79" t="str">
        <f t="shared" ref="J10" si="13">"Gruppe: " &amp; K2</f>
        <v xml:space="preserve">Gruppe: </v>
      </c>
      <c r="K10" s="92"/>
      <c r="L10" s="85"/>
      <c r="M10" s="79" t="str">
        <f t="shared" ref="M10" si="14">"Gruppe: " &amp; N2</f>
        <v xml:space="preserve">Gruppe: </v>
      </c>
      <c r="N10" s="81"/>
      <c r="O10" s="82"/>
      <c r="P10" s="79" t="str">
        <f t="shared" ref="P10" si="15">"Gruppe: " &amp; Q2</f>
        <v xml:space="preserve">Gruppe: </v>
      </c>
      <c r="Q10" s="81"/>
      <c r="R10" s="82"/>
      <c r="S10" s="79" t="str">
        <f t="shared" ref="S10" si="16">"Gruppe: " &amp; T2</f>
        <v xml:space="preserve">Gruppe: </v>
      </c>
      <c r="T10" s="81"/>
      <c r="U10" s="82"/>
      <c r="V10" s="79" t="str">
        <f t="shared" ref="V10" si="17">"Gruppe: " &amp; W2</f>
        <v xml:space="preserve">Gruppe: </v>
      </c>
      <c r="W10" s="92"/>
      <c r="X10" s="85"/>
      <c r="Y10" s="79" t="str">
        <f t="shared" ref="Y10" si="18">"Gruppe: " &amp; Z2</f>
        <v xml:space="preserve">Gruppe: </v>
      </c>
      <c r="Z10" s="92"/>
      <c r="AA10" s="85"/>
      <c r="AB10" s="79" t="str">
        <f t="shared" ref="AB10" si="19">"Gruppe: " &amp; AC2</f>
        <v xml:space="preserve">Gruppe: </v>
      </c>
      <c r="AC10" s="92"/>
      <c r="AD10" s="85"/>
      <c r="AE10" s="79" t="str">
        <f t="shared" ref="AE10" si="20">"Gruppe: " &amp; AF2</f>
        <v xml:space="preserve">Gruppe: </v>
      </c>
      <c r="AF10" s="92"/>
      <c r="AG10" s="85"/>
      <c r="AH10" s="79" t="str">
        <f t="shared" ref="AH10" si="21">"Gruppe: " &amp; AI2</f>
        <v xml:space="preserve">Gruppe: </v>
      </c>
      <c r="AI10" s="92"/>
      <c r="AJ10" s="85"/>
      <c r="AK10" s="79" t="str">
        <f t="shared" ref="AK10" si="22">"Gruppe: " &amp; AL2</f>
        <v xml:space="preserve">Gruppe: </v>
      </c>
      <c r="AL10" s="92"/>
      <c r="AM10" s="85"/>
      <c r="AN10" s="79" t="str">
        <f t="shared" ref="AN10" si="23">"Gruppe: " &amp; AO2</f>
        <v xml:space="preserve">Gruppe: </v>
      </c>
      <c r="AO10" s="92"/>
      <c r="AP10" s="85"/>
    </row>
    <row r="11" spans="1:42" s="17" customFormat="1" ht="51" x14ac:dyDescent="0.2">
      <c r="A11" s="18" t="s">
        <v>20</v>
      </c>
      <c r="B11" s="47" t="s">
        <v>61</v>
      </c>
      <c r="C11" s="18"/>
      <c r="D11" s="73" t="s">
        <v>69</v>
      </c>
      <c r="E11" s="197"/>
      <c r="F11" s="198"/>
      <c r="G11" s="80" t="s">
        <v>69</v>
      </c>
      <c r="H11" s="201"/>
      <c r="I11" s="202"/>
      <c r="J11" s="80" t="s">
        <v>69</v>
      </c>
      <c r="K11" s="209"/>
      <c r="L11" s="210"/>
      <c r="M11" s="80" t="s">
        <v>69</v>
      </c>
      <c r="N11" s="209"/>
      <c r="O11" s="210"/>
      <c r="P11" s="80" t="s">
        <v>69</v>
      </c>
      <c r="Q11" s="209"/>
      <c r="R11" s="210"/>
      <c r="S11" s="80" t="s">
        <v>69</v>
      </c>
      <c r="T11" s="209"/>
      <c r="U11" s="210"/>
      <c r="V11" s="80" t="s">
        <v>69</v>
      </c>
      <c r="W11" s="209"/>
      <c r="X11" s="210"/>
      <c r="Y11" s="80" t="s">
        <v>69</v>
      </c>
      <c r="Z11" s="209"/>
      <c r="AA11" s="210"/>
      <c r="AB11" s="80" t="s">
        <v>69</v>
      </c>
      <c r="AC11" s="209"/>
      <c r="AD11" s="210"/>
      <c r="AE11" s="80" t="s">
        <v>69</v>
      </c>
      <c r="AF11" s="209"/>
      <c r="AG11" s="210"/>
      <c r="AH11" s="80" t="s">
        <v>69</v>
      </c>
      <c r="AI11" s="209"/>
      <c r="AJ11" s="210"/>
      <c r="AK11" s="80" t="s">
        <v>69</v>
      </c>
      <c r="AL11" s="209"/>
      <c r="AM11" s="210"/>
      <c r="AN11" s="80" t="s">
        <v>69</v>
      </c>
      <c r="AO11" s="209"/>
      <c r="AP11" s="210"/>
    </row>
    <row r="12" spans="1:42" s="21" customFormat="1" ht="17" x14ac:dyDescent="0.2">
      <c r="A12" s="20"/>
      <c r="B12" s="26" t="s">
        <v>23</v>
      </c>
      <c r="C12" s="19" t="s">
        <v>3</v>
      </c>
      <c r="D12" s="36" t="s">
        <v>5</v>
      </c>
      <c r="E12" s="93" t="s">
        <v>6</v>
      </c>
      <c r="F12" s="86"/>
      <c r="G12" s="21" t="str">
        <f>D12</f>
        <v>Bewertung</v>
      </c>
      <c r="H12" s="115" t="str">
        <f>E12</f>
        <v>Kommentar</v>
      </c>
      <c r="I12" s="116"/>
      <c r="J12" s="21" t="str">
        <f>G12</f>
        <v>Bewertung</v>
      </c>
      <c r="K12" s="107" t="str">
        <f>H12</f>
        <v>Kommentar</v>
      </c>
      <c r="L12" s="108"/>
      <c r="M12" s="97" t="str">
        <f>J12</f>
        <v>Bewertung</v>
      </c>
      <c r="N12" s="101" t="str">
        <f>K12</f>
        <v>Kommentar</v>
      </c>
      <c r="O12" s="102"/>
      <c r="P12" s="97" t="str">
        <f>M12</f>
        <v>Bewertung</v>
      </c>
      <c r="Q12" s="101" t="str">
        <f>N12</f>
        <v>Kommentar</v>
      </c>
      <c r="R12" s="102"/>
      <c r="S12" s="97" t="str">
        <f>P12</f>
        <v>Bewertung</v>
      </c>
      <c r="T12" s="101" t="str">
        <f>Q12</f>
        <v>Kommentar</v>
      </c>
      <c r="U12" s="102"/>
      <c r="V12" s="97" t="str">
        <f>S12</f>
        <v>Bewertung</v>
      </c>
      <c r="W12" s="107" t="str">
        <f>T12</f>
        <v>Kommentar</v>
      </c>
      <c r="X12" s="108"/>
      <c r="Y12" s="97" t="str">
        <f>V12</f>
        <v>Bewertung</v>
      </c>
      <c r="Z12" s="107" t="str">
        <f>W12</f>
        <v>Kommentar</v>
      </c>
      <c r="AA12" s="108"/>
      <c r="AB12" s="97" t="str">
        <f>Y12</f>
        <v>Bewertung</v>
      </c>
      <c r="AC12" s="107" t="str">
        <f>Z12</f>
        <v>Kommentar</v>
      </c>
      <c r="AD12" s="108"/>
      <c r="AE12" s="97" t="str">
        <f>AB12</f>
        <v>Bewertung</v>
      </c>
      <c r="AF12" s="107" t="str">
        <f>AC12</f>
        <v>Kommentar</v>
      </c>
      <c r="AG12" s="108"/>
      <c r="AH12" s="97" t="str">
        <f>AE12</f>
        <v>Bewertung</v>
      </c>
      <c r="AI12" s="107" t="str">
        <f>AF12</f>
        <v>Kommentar</v>
      </c>
      <c r="AJ12" s="108"/>
      <c r="AK12" s="97" t="str">
        <f>AH12</f>
        <v>Bewertung</v>
      </c>
      <c r="AL12" s="107" t="str">
        <f>AI12</f>
        <v>Kommentar</v>
      </c>
      <c r="AM12" s="108"/>
      <c r="AN12" s="97" t="str">
        <f>AK12</f>
        <v>Bewertung</v>
      </c>
      <c r="AO12" s="107" t="str">
        <f>AL12</f>
        <v>Kommentar</v>
      </c>
      <c r="AP12" s="108"/>
    </row>
    <row r="13" spans="1:42" ht="68" x14ac:dyDescent="0.2">
      <c r="A13" s="5" t="s">
        <v>0</v>
      </c>
      <c r="B13" s="27"/>
      <c r="C13" s="6">
        <v>1</v>
      </c>
      <c r="D13" s="154"/>
      <c r="E13" s="196"/>
      <c r="F13" s="196"/>
      <c r="G13" s="155"/>
      <c r="H13" s="199"/>
      <c r="I13" s="199"/>
      <c r="J13" s="155"/>
      <c r="K13" s="200"/>
      <c r="L13" s="200"/>
      <c r="M13" s="155"/>
      <c r="N13" s="200"/>
      <c r="O13" s="200"/>
      <c r="P13" s="155"/>
      <c r="Q13" s="200"/>
      <c r="R13" s="200"/>
      <c r="S13" s="155"/>
      <c r="T13" s="200"/>
      <c r="U13" s="200"/>
      <c r="V13" s="155"/>
      <c r="W13" s="200"/>
      <c r="X13" s="200"/>
      <c r="Y13" s="155"/>
      <c r="Z13" s="200"/>
      <c r="AA13" s="200"/>
      <c r="AB13" s="155"/>
      <c r="AC13" s="200"/>
      <c r="AD13" s="200"/>
      <c r="AE13" s="155"/>
      <c r="AF13" s="200"/>
      <c r="AG13" s="200"/>
      <c r="AH13" s="155"/>
      <c r="AI13" s="200"/>
      <c r="AJ13" s="200"/>
      <c r="AK13" s="155"/>
      <c r="AL13" s="200"/>
      <c r="AM13" s="200"/>
      <c r="AN13" s="155"/>
      <c r="AO13" s="200"/>
      <c r="AP13" s="200"/>
    </row>
    <row r="14" spans="1:42" ht="68" x14ac:dyDescent="0.2">
      <c r="A14" s="5" t="s">
        <v>1</v>
      </c>
      <c r="B14" s="27"/>
      <c r="C14" s="6">
        <v>0.5</v>
      </c>
      <c r="D14" s="154"/>
      <c r="E14" s="193"/>
      <c r="F14" s="193"/>
      <c r="G14" s="155"/>
      <c r="H14" s="199"/>
      <c r="I14" s="199"/>
      <c r="J14" s="155"/>
      <c r="K14" s="200"/>
      <c r="L14" s="200"/>
      <c r="M14" s="155"/>
      <c r="N14" s="200"/>
      <c r="O14" s="200"/>
      <c r="P14" s="155"/>
      <c r="Q14" s="200"/>
      <c r="R14" s="200"/>
      <c r="S14" s="155"/>
      <c r="T14" s="200"/>
      <c r="U14" s="200"/>
      <c r="V14" s="155"/>
      <c r="W14" s="200"/>
      <c r="X14" s="200"/>
      <c r="Y14" s="155"/>
      <c r="Z14" s="200"/>
      <c r="AA14" s="200"/>
      <c r="AB14" s="155"/>
      <c r="AC14" s="200"/>
      <c r="AD14" s="200"/>
      <c r="AE14" s="155"/>
      <c r="AF14" s="200"/>
      <c r="AG14" s="200"/>
      <c r="AH14" s="155"/>
      <c r="AI14" s="200"/>
      <c r="AJ14" s="200"/>
      <c r="AK14" s="155"/>
      <c r="AL14" s="200"/>
      <c r="AM14" s="200"/>
      <c r="AN14" s="155"/>
      <c r="AO14" s="200"/>
      <c r="AP14" s="200"/>
    </row>
    <row r="15" spans="1:42" ht="51" x14ac:dyDescent="0.2">
      <c r="A15" s="5" t="s">
        <v>95</v>
      </c>
      <c r="B15" s="27"/>
      <c r="C15" s="6">
        <v>0.5</v>
      </c>
      <c r="D15" s="154"/>
      <c r="E15" s="193"/>
      <c r="F15" s="193"/>
      <c r="G15" s="155"/>
      <c r="H15" s="199"/>
      <c r="I15" s="199"/>
      <c r="J15" s="155"/>
      <c r="K15" s="200"/>
      <c r="L15" s="200"/>
      <c r="M15" s="155"/>
      <c r="N15" s="200"/>
      <c r="O15" s="200"/>
      <c r="P15" s="155"/>
      <c r="Q15" s="200"/>
      <c r="R15" s="200"/>
      <c r="S15" s="155"/>
      <c r="T15" s="200"/>
      <c r="U15" s="200"/>
      <c r="V15" s="155"/>
      <c r="W15" s="200"/>
      <c r="X15" s="200"/>
      <c r="Y15" s="155"/>
      <c r="Z15" s="200"/>
      <c r="AA15" s="200"/>
      <c r="AB15" s="155"/>
      <c r="AC15" s="200"/>
      <c r="AD15" s="200"/>
      <c r="AE15" s="155"/>
      <c r="AF15" s="200"/>
      <c r="AG15" s="200"/>
      <c r="AH15" s="155"/>
      <c r="AI15" s="200"/>
      <c r="AJ15" s="200"/>
      <c r="AK15" s="155"/>
      <c r="AL15" s="200"/>
      <c r="AM15" s="200"/>
      <c r="AN15" s="155"/>
      <c r="AO15" s="200"/>
      <c r="AP15" s="200"/>
    </row>
    <row r="16" spans="1:42" ht="34" x14ac:dyDescent="0.2">
      <c r="A16" s="7" t="s">
        <v>2</v>
      </c>
      <c r="B16" s="40" t="s">
        <v>31</v>
      </c>
      <c r="C16" s="6">
        <f>SUM(C13:C15)</f>
        <v>2</v>
      </c>
      <c r="D16" s="156">
        <f>SUM(D13:D15)</f>
        <v>0</v>
      </c>
      <c r="E16" s="193"/>
      <c r="F16" s="193"/>
      <c r="G16" s="156">
        <f>SUM(G13:G15)</f>
        <v>0</v>
      </c>
      <c r="H16" s="199"/>
      <c r="I16" s="199"/>
      <c r="J16" s="156">
        <f>SUM(J13:J15)</f>
        <v>0</v>
      </c>
      <c r="K16" s="200"/>
      <c r="L16" s="200"/>
      <c r="M16" s="156">
        <f>SUM(M13:M15)</f>
        <v>0</v>
      </c>
      <c r="N16" s="218"/>
      <c r="O16" s="218"/>
      <c r="P16" s="156">
        <f>SUM(P13:P15)</f>
        <v>0</v>
      </c>
      <c r="Q16" s="218"/>
      <c r="R16" s="218"/>
      <c r="S16" s="156">
        <f>SUM(S13:S15)</f>
        <v>0</v>
      </c>
      <c r="T16" s="200"/>
      <c r="U16" s="200"/>
      <c r="V16" s="156">
        <f>SUM(V13:V15)</f>
        <v>0</v>
      </c>
      <c r="W16" s="200"/>
      <c r="X16" s="200"/>
      <c r="Y16" s="156">
        <f>SUM(Y13:Y15)</f>
        <v>0</v>
      </c>
      <c r="Z16" s="200"/>
      <c r="AA16" s="200"/>
      <c r="AB16" s="156">
        <f>SUM(AB13:AB15)</f>
        <v>0</v>
      </c>
      <c r="AC16" s="200"/>
      <c r="AD16" s="200"/>
      <c r="AE16" s="156">
        <f>SUM(AE13:AE15)</f>
        <v>0</v>
      </c>
      <c r="AF16" s="200"/>
      <c r="AG16" s="200"/>
      <c r="AH16" s="156">
        <f>SUM(AH13:AH15)</f>
        <v>0</v>
      </c>
      <c r="AI16" s="200"/>
      <c r="AJ16" s="200"/>
      <c r="AK16" s="156">
        <f>SUM(AK13:AK15)</f>
        <v>0</v>
      </c>
      <c r="AL16" s="200"/>
      <c r="AM16" s="200"/>
      <c r="AN16" s="156">
        <f>SUM(AN13:AN15)</f>
        <v>0</v>
      </c>
      <c r="AO16" s="200"/>
      <c r="AP16" s="200"/>
    </row>
    <row r="17" spans="1:42" s="45" customFormat="1" ht="17" x14ac:dyDescent="0.2">
      <c r="A17" s="41" t="s">
        <v>10</v>
      </c>
      <c r="B17" s="42"/>
      <c r="C17" s="43"/>
      <c r="D17" s="44" t="str">
        <f>"Gruppe: " &amp; E2</f>
        <v xml:space="preserve">Gruppe: </v>
      </c>
      <c r="E17" s="92"/>
      <c r="F17" s="85"/>
      <c r="G17" s="79" t="str">
        <f t="shared" ref="G17" si="24">"Gruppe: " &amp; H2</f>
        <v xml:space="preserve">Gruppe: </v>
      </c>
      <c r="H17" s="114"/>
      <c r="I17" s="112"/>
      <c r="J17" s="79" t="str">
        <f t="shared" ref="J17" si="25">"Gruppe: " &amp; K2</f>
        <v xml:space="preserve">Gruppe: </v>
      </c>
      <c r="K17" s="92"/>
      <c r="L17" s="85"/>
      <c r="M17" s="79" t="str">
        <f t="shared" ref="M17" si="26">"Gruppe: " &amp; N2</f>
        <v xml:space="preserve">Gruppe: </v>
      </c>
      <c r="N17" s="81"/>
      <c r="O17" s="82"/>
      <c r="P17" s="79" t="str">
        <f t="shared" ref="P17" si="27">"Gruppe: " &amp; Q2</f>
        <v xml:space="preserve">Gruppe: </v>
      </c>
      <c r="Q17" s="81"/>
      <c r="R17" s="82"/>
      <c r="S17" s="79" t="str">
        <f t="shared" ref="S17" si="28">"Gruppe: " &amp; T2</f>
        <v xml:space="preserve">Gruppe: </v>
      </c>
      <c r="T17" s="81"/>
      <c r="U17" s="82"/>
      <c r="V17" s="79" t="str">
        <f t="shared" ref="V17" si="29">"Gruppe: " &amp; W2</f>
        <v xml:space="preserve">Gruppe: </v>
      </c>
      <c r="W17" s="92"/>
      <c r="X17" s="85"/>
      <c r="Y17" s="79" t="str">
        <f t="shared" ref="Y17" si="30">"Gruppe: " &amp; Z2</f>
        <v xml:space="preserve">Gruppe: </v>
      </c>
      <c r="Z17" s="92"/>
      <c r="AA17" s="85"/>
      <c r="AB17" s="79" t="str">
        <f t="shared" ref="AB17" si="31">"Gruppe: " &amp; AC2</f>
        <v xml:space="preserve">Gruppe: </v>
      </c>
      <c r="AC17" s="92"/>
      <c r="AD17" s="85"/>
      <c r="AE17" s="79" t="str">
        <f t="shared" ref="AE17" si="32">"Gruppe: " &amp; AF2</f>
        <v xml:space="preserve">Gruppe: </v>
      </c>
      <c r="AF17" s="121"/>
      <c r="AG17" s="122"/>
      <c r="AH17" s="79" t="str">
        <f t="shared" ref="AH17" si="33">"Gruppe: " &amp; AI2</f>
        <v xml:space="preserve">Gruppe: </v>
      </c>
      <c r="AI17" s="121"/>
      <c r="AJ17" s="122"/>
      <c r="AK17" s="79" t="str">
        <f t="shared" ref="AK17" si="34">"Gruppe: " &amp; AL2</f>
        <v xml:space="preserve">Gruppe: </v>
      </c>
      <c r="AL17" s="121"/>
      <c r="AM17" s="122"/>
      <c r="AN17" s="79" t="str">
        <f t="shared" ref="AN17" si="35">"Gruppe: " &amp; AO2</f>
        <v xml:space="preserve">Gruppe: </v>
      </c>
      <c r="AO17" s="121"/>
      <c r="AP17" s="122"/>
    </row>
    <row r="18" spans="1:42" s="9" customFormat="1" ht="68" x14ac:dyDescent="0.2">
      <c r="A18" s="22" t="s">
        <v>21</v>
      </c>
      <c r="B18" s="48" t="s">
        <v>48</v>
      </c>
      <c r="C18" s="22"/>
      <c r="D18" s="38"/>
      <c r="E18" s="94"/>
      <c r="F18" s="87"/>
      <c r="H18" s="117"/>
      <c r="I18" s="118"/>
      <c r="K18" s="109"/>
      <c r="L18" s="110"/>
      <c r="M18" s="98"/>
      <c r="N18" s="103"/>
      <c r="O18" s="104"/>
      <c r="P18" s="98"/>
      <c r="Q18" s="103"/>
      <c r="R18" s="104"/>
      <c r="S18" s="98"/>
      <c r="T18" s="103"/>
      <c r="U18" s="104"/>
      <c r="V18" s="98"/>
      <c r="W18" s="109"/>
      <c r="X18" s="110"/>
      <c r="Y18" s="98"/>
      <c r="Z18" s="109"/>
      <c r="AA18" s="110"/>
      <c r="AB18" s="98"/>
      <c r="AC18" s="109"/>
      <c r="AD18" s="110"/>
      <c r="AE18" s="98"/>
      <c r="AF18" s="109"/>
      <c r="AG18" s="110"/>
      <c r="AH18" s="98"/>
      <c r="AI18" s="109"/>
      <c r="AJ18" s="110"/>
      <c r="AK18" s="98"/>
      <c r="AL18" s="109"/>
      <c r="AM18" s="110"/>
      <c r="AN18" s="98"/>
      <c r="AO18" s="109"/>
      <c r="AP18" s="110"/>
    </row>
    <row r="19" spans="1:42" s="21" customFormat="1" x14ac:dyDescent="0.2">
      <c r="A19" s="20"/>
      <c r="B19" s="23" t="str">
        <f>B12</f>
        <v>Fokus &amp; Korrekturhinweise</v>
      </c>
      <c r="C19" s="19" t="str">
        <f>C12</f>
        <v>Punkte</v>
      </c>
      <c r="D19" s="36" t="str">
        <f>D12</f>
        <v>Bewertung</v>
      </c>
      <c r="E19" s="93" t="str">
        <f>E12</f>
        <v>Kommentar</v>
      </c>
      <c r="F19" s="86"/>
      <c r="G19" s="21" t="str">
        <f>D19</f>
        <v>Bewertung</v>
      </c>
      <c r="H19" s="115" t="str">
        <f>E19</f>
        <v>Kommentar</v>
      </c>
      <c r="I19" s="116"/>
      <c r="J19" s="21" t="str">
        <f>G19</f>
        <v>Bewertung</v>
      </c>
      <c r="K19" s="107" t="str">
        <f>H19</f>
        <v>Kommentar</v>
      </c>
      <c r="L19" s="108"/>
      <c r="M19" s="97" t="str">
        <f>J19</f>
        <v>Bewertung</v>
      </c>
      <c r="N19" s="101" t="str">
        <f>K19</f>
        <v>Kommentar</v>
      </c>
      <c r="O19" s="102"/>
      <c r="P19" s="97" t="str">
        <f>M19</f>
        <v>Bewertung</v>
      </c>
      <c r="Q19" s="101" t="str">
        <f>N19</f>
        <v>Kommentar</v>
      </c>
      <c r="R19" s="102"/>
      <c r="S19" s="97" t="str">
        <f>P19</f>
        <v>Bewertung</v>
      </c>
      <c r="T19" s="101" t="str">
        <f>Q19</f>
        <v>Kommentar</v>
      </c>
      <c r="U19" s="102"/>
      <c r="V19" s="97" t="str">
        <f>S19</f>
        <v>Bewertung</v>
      </c>
      <c r="W19" s="107" t="str">
        <f>T19</f>
        <v>Kommentar</v>
      </c>
      <c r="X19" s="108"/>
      <c r="Y19" s="97" t="str">
        <f>V19</f>
        <v>Bewertung</v>
      </c>
      <c r="Z19" s="107" t="str">
        <f>W19</f>
        <v>Kommentar</v>
      </c>
      <c r="AA19" s="108"/>
      <c r="AB19" s="97" t="str">
        <f>Y19</f>
        <v>Bewertung</v>
      </c>
      <c r="AC19" s="107" t="str">
        <f>Z19</f>
        <v>Kommentar</v>
      </c>
      <c r="AD19" s="108"/>
      <c r="AE19" s="97" t="str">
        <f>AB19</f>
        <v>Bewertung</v>
      </c>
      <c r="AF19" s="107" t="str">
        <f>AC19</f>
        <v>Kommentar</v>
      </c>
      <c r="AG19" s="108"/>
      <c r="AH19" s="97" t="str">
        <f>AE19</f>
        <v>Bewertung</v>
      </c>
      <c r="AI19" s="107" t="str">
        <f>AF19</f>
        <v>Kommentar</v>
      </c>
      <c r="AJ19" s="108"/>
      <c r="AK19" s="97" t="str">
        <f>AH19</f>
        <v>Bewertung</v>
      </c>
      <c r="AL19" s="107" t="str">
        <f>AI19</f>
        <v>Kommentar</v>
      </c>
      <c r="AM19" s="108"/>
      <c r="AN19" s="97" t="str">
        <f>AK19</f>
        <v>Bewertung</v>
      </c>
      <c r="AO19" s="107" t="str">
        <f>AL19</f>
        <v>Kommentar</v>
      </c>
      <c r="AP19" s="108"/>
    </row>
    <row r="20" spans="1:42" ht="68" x14ac:dyDescent="0.2">
      <c r="A20" s="1" t="s">
        <v>46</v>
      </c>
      <c r="C20" s="2">
        <v>2</v>
      </c>
      <c r="D20" s="154"/>
      <c r="E20" s="193"/>
      <c r="F20" s="193"/>
      <c r="G20" s="155"/>
      <c r="H20" s="199"/>
      <c r="I20" s="199"/>
      <c r="J20" s="155"/>
      <c r="K20" s="200"/>
      <c r="L20" s="200"/>
      <c r="M20" s="155"/>
      <c r="N20" s="200"/>
      <c r="O20" s="200"/>
      <c r="P20" s="155"/>
      <c r="Q20" s="200"/>
      <c r="R20" s="200"/>
      <c r="S20" s="155"/>
      <c r="T20" s="200"/>
      <c r="U20" s="200"/>
      <c r="V20" s="155"/>
      <c r="W20" s="200"/>
      <c r="X20" s="200"/>
      <c r="Y20" s="155"/>
      <c r="Z20" s="200"/>
      <c r="AA20" s="200"/>
      <c r="AB20" s="155"/>
      <c r="AC20" s="200"/>
      <c r="AD20" s="200"/>
      <c r="AE20" s="155"/>
      <c r="AF20" s="200"/>
      <c r="AG20" s="200"/>
      <c r="AH20" s="155"/>
      <c r="AI20" s="200"/>
      <c r="AJ20" s="200"/>
      <c r="AK20" s="155"/>
      <c r="AL20" s="200"/>
      <c r="AM20" s="200"/>
      <c r="AN20" s="155"/>
      <c r="AO20" s="200"/>
      <c r="AP20" s="200"/>
    </row>
    <row r="21" spans="1:42" ht="51" x14ac:dyDescent="0.2">
      <c r="A21" s="1" t="s">
        <v>32</v>
      </c>
      <c r="C21" s="2">
        <v>1</v>
      </c>
      <c r="D21" s="154"/>
      <c r="E21" s="193"/>
      <c r="F21" s="193"/>
      <c r="G21" s="155"/>
      <c r="H21" s="199"/>
      <c r="I21" s="199"/>
      <c r="J21" s="155"/>
      <c r="K21" s="200"/>
      <c r="L21" s="200"/>
      <c r="M21" s="155"/>
      <c r="N21" s="200"/>
      <c r="O21" s="200"/>
      <c r="P21" s="155"/>
      <c r="Q21" s="200"/>
      <c r="R21" s="200"/>
      <c r="S21" s="155"/>
      <c r="T21" s="200"/>
      <c r="U21" s="200"/>
      <c r="V21" s="155"/>
      <c r="W21" s="200"/>
      <c r="X21" s="200"/>
      <c r="Y21" s="155"/>
      <c r="Z21" s="200"/>
      <c r="AA21" s="200"/>
      <c r="AB21" s="155"/>
      <c r="AC21" s="200"/>
      <c r="AD21" s="200"/>
      <c r="AE21" s="155"/>
      <c r="AF21" s="200"/>
      <c r="AG21" s="200"/>
      <c r="AH21" s="155"/>
      <c r="AI21" s="200"/>
      <c r="AJ21" s="200"/>
      <c r="AK21" s="155"/>
      <c r="AL21" s="200"/>
      <c r="AM21" s="200"/>
      <c r="AN21" s="155"/>
      <c r="AO21" s="200"/>
      <c r="AP21" s="200"/>
    </row>
    <row r="22" spans="1:42" ht="68" x14ac:dyDescent="0.2">
      <c r="A22" s="1" t="s">
        <v>7</v>
      </c>
      <c r="C22" s="2">
        <v>1</v>
      </c>
      <c r="D22" s="154"/>
      <c r="E22" s="193"/>
      <c r="F22" s="193"/>
      <c r="G22" s="155"/>
      <c r="H22" s="199"/>
      <c r="I22" s="199"/>
      <c r="J22" s="155"/>
      <c r="K22" s="200"/>
      <c r="L22" s="200"/>
      <c r="M22" s="155"/>
      <c r="N22" s="200"/>
      <c r="O22" s="200"/>
      <c r="P22" s="155"/>
      <c r="Q22" s="200"/>
      <c r="R22" s="200"/>
      <c r="S22" s="155"/>
      <c r="T22" s="200"/>
      <c r="U22" s="200"/>
      <c r="V22" s="155"/>
      <c r="W22" s="200"/>
      <c r="X22" s="200"/>
      <c r="Y22" s="155"/>
      <c r="Z22" s="200"/>
      <c r="AA22" s="200"/>
      <c r="AB22" s="155"/>
      <c r="AC22" s="200"/>
      <c r="AD22" s="200"/>
      <c r="AE22" s="155"/>
      <c r="AF22" s="200"/>
      <c r="AG22" s="200"/>
      <c r="AH22" s="155"/>
      <c r="AI22" s="200"/>
      <c r="AJ22" s="200"/>
      <c r="AK22" s="155"/>
      <c r="AL22" s="200"/>
      <c r="AM22" s="200"/>
      <c r="AN22" s="155"/>
      <c r="AO22" s="200"/>
      <c r="AP22" s="200"/>
    </row>
    <row r="23" spans="1:42" ht="85" x14ac:dyDescent="0.2">
      <c r="A23" s="1" t="s">
        <v>68</v>
      </c>
      <c r="C23" s="2">
        <v>1</v>
      </c>
      <c r="D23" s="154"/>
      <c r="E23" s="193"/>
      <c r="F23" s="193"/>
      <c r="G23" s="155"/>
      <c r="H23" s="199"/>
      <c r="I23" s="199"/>
      <c r="J23" s="155"/>
      <c r="K23" s="200"/>
      <c r="L23" s="200"/>
      <c r="M23" s="155"/>
      <c r="N23" s="200"/>
      <c r="O23" s="200"/>
      <c r="P23" s="155"/>
      <c r="Q23" s="200"/>
      <c r="R23" s="200"/>
      <c r="S23" s="155"/>
      <c r="T23" s="200"/>
      <c r="U23" s="200"/>
      <c r="V23" s="155"/>
      <c r="W23" s="200"/>
      <c r="X23" s="200"/>
      <c r="Y23" s="155"/>
      <c r="Z23" s="200"/>
      <c r="AA23" s="200"/>
      <c r="AB23" s="155"/>
      <c r="AC23" s="200"/>
      <c r="AD23" s="200"/>
      <c r="AE23" s="155"/>
      <c r="AF23" s="200"/>
      <c r="AG23" s="200"/>
      <c r="AH23" s="155"/>
      <c r="AI23" s="200"/>
      <c r="AJ23" s="200"/>
      <c r="AK23" s="155"/>
      <c r="AL23" s="200"/>
      <c r="AM23" s="200"/>
      <c r="AN23" s="155"/>
      <c r="AO23" s="200"/>
      <c r="AP23" s="200"/>
    </row>
    <row r="24" spans="1:42" ht="51" x14ac:dyDescent="0.2">
      <c r="A24" s="1" t="s">
        <v>45</v>
      </c>
      <c r="C24" s="2">
        <v>2</v>
      </c>
      <c r="D24" s="154"/>
      <c r="E24" s="193"/>
      <c r="F24" s="193"/>
      <c r="G24" s="155"/>
      <c r="H24" s="199"/>
      <c r="I24" s="199"/>
      <c r="J24" s="155"/>
      <c r="K24" s="200"/>
      <c r="L24" s="200"/>
      <c r="M24" s="155"/>
      <c r="N24" s="200"/>
      <c r="O24" s="200"/>
      <c r="P24" s="155"/>
      <c r="Q24" s="200"/>
      <c r="R24" s="200"/>
      <c r="S24" s="155"/>
      <c r="T24" s="200"/>
      <c r="U24" s="200"/>
      <c r="V24" s="155"/>
      <c r="W24" s="200"/>
      <c r="X24" s="200"/>
      <c r="Y24" s="155"/>
      <c r="Z24" s="200"/>
      <c r="AA24" s="200"/>
      <c r="AB24" s="155"/>
      <c r="AC24" s="200"/>
      <c r="AD24" s="200"/>
      <c r="AE24" s="155"/>
      <c r="AF24" s="200"/>
      <c r="AG24" s="200"/>
      <c r="AH24" s="155"/>
      <c r="AI24" s="200"/>
      <c r="AJ24" s="200"/>
      <c r="AK24" s="155"/>
      <c r="AL24" s="200"/>
      <c r="AM24" s="200"/>
      <c r="AN24" s="155"/>
      <c r="AO24" s="200"/>
      <c r="AP24" s="200"/>
    </row>
    <row r="25" spans="1:42" ht="119" x14ac:dyDescent="0.2">
      <c r="A25" s="1" t="s">
        <v>4</v>
      </c>
      <c r="C25" s="2">
        <v>1</v>
      </c>
      <c r="D25" s="154"/>
      <c r="E25" s="193"/>
      <c r="F25" s="193"/>
      <c r="G25" s="155"/>
      <c r="H25" s="199"/>
      <c r="I25" s="199"/>
      <c r="J25" s="155"/>
      <c r="K25" s="200"/>
      <c r="L25" s="200"/>
      <c r="M25" s="155"/>
      <c r="N25" s="200"/>
      <c r="O25" s="200"/>
      <c r="P25" s="155"/>
      <c r="Q25" s="200"/>
      <c r="R25" s="200"/>
      <c r="S25" s="155"/>
      <c r="T25" s="200"/>
      <c r="U25" s="200"/>
      <c r="V25" s="155"/>
      <c r="W25" s="200"/>
      <c r="X25" s="200"/>
      <c r="Y25" s="155"/>
      <c r="Z25" s="200"/>
      <c r="AA25" s="200"/>
      <c r="AB25" s="155"/>
      <c r="AC25" s="200"/>
      <c r="AD25" s="200"/>
      <c r="AE25" s="155"/>
      <c r="AF25" s="200"/>
      <c r="AG25" s="200"/>
      <c r="AH25" s="155"/>
      <c r="AI25" s="200"/>
      <c r="AJ25" s="200"/>
      <c r="AK25" s="155"/>
      <c r="AL25" s="200"/>
      <c r="AM25" s="200"/>
      <c r="AN25" s="155"/>
      <c r="AO25" s="200"/>
      <c r="AP25" s="200"/>
    </row>
    <row r="26" spans="1:42" ht="34" x14ac:dyDescent="0.2">
      <c r="A26" s="8" t="s">
        <v>8</v>
      </c>
      <c r="B26" s="28" t="s">
        <v>30</v>
      </c>
      <c r="C26" s="6">
        <f>SUM(C20:C25)</f>
        <v>8</v>
      </c>
      <c r="D26" s="156">
        <f>SUM(D20:D25)</f>
        <v>0</v>
      </c>
      <c r="E26" s="193"/>
      <c r="F26" s="193"/>
      <c r="G26" s="156">
        <f>SUM(G20:G25)</f>
        <v>0</v>
      </c>
      <c r="H26" s="199"/>
      <c r="I26" s="199"/>
      <c r="J26" s="156">
        <f>SUM(J20:J25)</f>
        <v>0</v>
      </c>
      <c r="K26" s="200"/>
      <c r="L26" s="200"/>
      <c r="M26" s="156">
        <f>SUM(M20:M25)</f>
        <v>0</v>
      </c>
      <c r="N26" s="200"/>
      <c r="O26" s="200"/>
      <c r="P26" s="156">
        <f>SUM(P20:P25)</f>
        <v>0</v>
      </c>
      <c r="Q26" s="200"/>
      <c r="R26" s="200"/>
      <c r="S26" s="156">
        <f>SUM(S20:S25)</f>
        <v>0</v>
      </c>
      <c r="T26" s="200"/>
      <c r="U26" s="200"/>
      <c r="V26" s="156">
        <f>SUM(V20:V25)</f>
        <v>0</v>
      </c>
      <c r="W26" s="200"/>
      <c r="X26" s="200"/>
      <c r="Y26" s="156">
        <f>SUM(Y20:Y25)</f>
        <v>0</v>
      </c>
      <c r="Z26" s="200"/>
      <c r="AA26" s="200"/>
      <c r="AB26" s="156">
        <f>SUM(AB20:AB25)</f>
        <v>0</v>
      </c>
      <c r="AC26" s="200"/>
      <c r="AD26" s="200"/>
      <c r="AE26" s="156">
        <f>SUM(AE20:AE25)</f>
        <v>0</v>
      </c>
      <c r="AF26" s="200"/>
      <c r="AG26" s="200"/>
      <c r="AH26" s="156">
        <f>SUM(AH20:AH25)</f>
        <v>0</v>
      </c>
      <c r="AI26" s="200"/>
      <c r="AJ26" s="200"/>
      <c r="AK26" s="156">
        <f>SUM(AK20:AK25)</f>
        <v>0</v>
      </c>
      <c r="AL26" s="200"/>
      <c r="AM26" s="200"/>
      <c r="AN26" s="156">
        <f>SUM(AN20:AN25)</f>
        <v>0</v>
      </c>
      <c r="AO26" s="200"/>
      <c r="AP26" s="200"/>
    </row>
    <row r="27" spans="1:42" s="45" customFormat="1" ht="17" x14ac:dyDescent="0.2">
      <c r="A27" s="41" t="s">
        <v>11</v>
      </c>
      <c r="B27" s="42"/>
      <c r="C27" s="43"/>
      <c r="D27" s="44" t="str">
        <f>"Gruppe: " &amp; E2</f>
        <v xml:space="preserve">Gruppe: </v>
      </c>
      <c r="E27" s="92"/>
      <c r="F27" s="85"/>
      <c r="G27" s="79" t="str">
        <f t="shared" ref="G27" si="36">"Gruppe: " &amp; H2</f>
        <v xml:space="preserve">Gruppe: </v>
      </c>
      <c r="H27" s="114"/>
      <c r="I27" s="112"/>
      <c r="J27" s="79" t="str">
        <f t="shared" ref="J27" si="37">"Gruppe: " &amp; K2</f>
        <v xml:space="preserve">Gruppe: </v>
      </c>
      <c r="K27" s="92"/>
      <c r="L27" s="85"/>
      <c r="M27" s="79" t="str">
        <f t="shared" ref="M27" si="38">"Gruppe: " &amp; N2</f>
        <v xml:space="preserve">Gruppe: </v>
      </c>
      <c r="N27" s="81"/>
      <c r="O27" s="82"/>
      <c r="P27" s="79" t="str">
        <f t="shared" ref="P27" si="39">"Gruppe: " &amp; Q2</f>
        <v xml:space="preserve">Gruppe: </v>
      </c>
      <c r="Q27" s="81"/>
      <c r="R27" s="82"/>
      <c r="S27" s="79" t="str">
        <f t="shared" ref="S27" si="40">"Gruppe: " &amp; T2</f>
        <v xml:space="preserve">Gruppe: </v>
      </c>
      <c r="T27" s="81"/>
      <c r="U27" s="82"/>
      <c r="V27" s="79" t="str">
        <f t="shared" ref="V27" si="41">"Gruppe: " &amp; W2</f>
        <v xml:space="preserve">Gruppe: </v>
      </c>
      <c r="W27" s="92"/>
      <c r="X27" s="85"/>
      <c r="Y27" s="79" t="str">
        <f t="shared" ref="Y27" si="42">"Gruppe: " &amp; Z2</f>
        <v xml:space="preserve">Gruppe: </v>
      </c>
      <c r="Z27" s="92"/>
      <c r="AA27" s="85"/>
      <c r="AB27" s="79" t="str">
        <f t="shared" ref="AB27" si="43">"Gruppe: " &amp; AC2</f>
        <v xml:space="preserve">Gruppe: </v>
      </c>
      <c r="AC27" s="92"/>
      <c r="AD27" s="85"/>
      <c r="AE27" s="79" t="str">
        <f t="shared" ref="AE27" si="44">"Gruppe: " &amp; AF2</f>
        <v xml:space="preserve">Gruppe: </v>
      </c>
      <c r="AF27" s="92"/>
      <c r="AG27" s="85"/>
      <c r="AH27" s="79" t="str">
        <f t="shared" ref="AH27" si="45">"Gruppe: " &amp; AI2</f>
        <v xml:space="preserve">Gruppe: </v>
      </c>
      <c r="AI27" s="92"/>
      <c r="AJ27" s="85"/>
      <c r="AK27" s="79" t="str">
        <f t="shared" ref="AK27" si="46">"Gruppe: " &amp; AL2</f>
        <v xml:space="preserve">Gruppe: </v>
      </c>
      <c r="AL27" s="92"/>
      <c r="AM27" s="85"/>
      <c r="AN27" s="79" t="str">
        <f t="shared" ref="AN27" si="47">"Gruppe: " &amp; AO2</f>
        <v xml:space="preserve">Gruppe: </v>
      </c>
      <c r="AO27" s="92"/>
      <c r="AP27" s="85"/>
    </row>
    <row r="28" spans="1:42" ht="68" x14ac:dyDescent="0.2">
      <c r="A28" s="8" t="s">
        <v>65</v>
      </c>
      <c r="B28" s="57" t="s">
        <v>64</v>
      </c>
      <c r="C28" s="8"/>
      <c r="D28" s="39"/>
      <c r="E28" s="95"/>
      <c r="F28" s="88"/>
      <c r="AI28" s="100"/>
      <c r="AJ28" s="75"/>
      <c r="AL28" s="100"/>
      <c r="AM28" s="75"/>
      <c r="AO28" s="100"/>
      <c r="AP28" s="75"/>
    </row>
    <row r="29" spans="1:42" s="21" customFormat="1" x14ac:dyDescent="0.2">
      <c r="A29" s="20"/>
      <c r="B29" s="23" t="str">
        <f>B12</f>
        <v>Fokus &amp; Korrekturhinweise</v>
      </c>
      <c r="C29" s="19" t="str">
        <f>C12</f>
        <v>Punkte</v>
      </c>
      <c r="D29" s="36" t="str">
        <f>D19</f>
        <v>Bewertung</v>
      </c>
      <c r="E29" s="93" t="str">
        <f>E19</f>
        <v>Kommentar</v>
      </c>
      <c r="F29" s="86"/>
      <c r="G29" s="21" t="str">
        <f>D29</f>
        <v>Bewertung</v>
      </c>
      <c r="H29" s="115" t="str">
        <f>E29</f>
        <v>Kommentar</v>
      </c>
      <c r="I29" s="116"/>
      <c r="J29" s="21" t="str">
        <f>G29</f>
        <v>Bewertung</v>
      </c>
      <c r="K29" s="107" t="str">
        <f>H29</f>
        <v>Kommentar</v>
      </c>
      <c r="L29" s="108"/>
      <c r="M29" s="97" t="str">
        <f>J29</f>
        <v>Bewertung</v>
      </c>
      <c r="N29" s="101" t="str">
        <f>K29</f>
        <v>Kommentar</v>
      </c>
      <c r="O29" s="102"/>
      <c r="P29" s="97" t="str">
        <f>M29</f>
        <v>Bewertung</v>
      </c>
      <c r="Q29" s="101" t="str">
        <f>N29</f>
        <v>Kommentar</v>
      </c>
      <c r="R29" s="102"/>
      <c r="S29" s="97" t="str">
        <f>P29</f>
        <v>Bewertung</v>
      </c>
      <c r="T29" s="101" t="str">
        <f>Q29</f>
        <v>Kommentar</v>
      </c>
      <c r="U29" s="102"/>
      <c r="V29" s="97" t="str">
        <f>S29</f>
        <v>Bewertung</v>
      </c>
      <c r="W29" s="107" t="str">
        <f>T29</f>
        <v>Kommentar</v>
      </c>
      <c r="X29" s="108"/>
      <c r="Y29" s="97" t="str">
        <f>V29</f>
        <v>Bewertung</v>
      </c>
      <c r="Z29" s="107" t="str">
        <f>W29</f>
        <v>Kommentar</v>
      </c>
      <c r="AA29" s="108"/>
      <c r="AB29" s="97" t="str">
        <f>Y29</f>
        <v>Bewertung</v>
      </c>
      <c r="AC29" s="107" t="str">
        <f>Z29</f>
        <v>Kommentar</v>
      </c>
      <c r="AD29" s="108"/>
      <c r="AE29" s="97" t="str">
        <f>AB29</f>
        <v>Bewertung</v>
      </c>
      <c r="AF29" s="107" t="str">
        <f>AC29</f>
        <v>Kommentar</v>
      </c>
      <c r="AG29" s="108"/>
      <c r="AH29" s="97" t="str">
        <f>AE29</f>
        <v>Bewertung</v>
      </c>
      <c r="AI29" s="107" t="str">
        <f>AF29</f>
        <v>Kommentar</v>
      </c>
      <c r="AJ29" s="108"/>
      <c r="AK29" s="97" t="str">
        <f>AH29</f>
        <v>Bewertung</v>
      </c>
      <c r="AL29" s="107" t="str">
        <f>AI29</f>
        <v>Kommentar</v>
      </c>
      <c r="AM29" s="108"/>
      <c r="AN29" s="97" t="str">
        <f>AK29</f>
        <v>Bewertung</v>
      </c>
      <c r="AO29" s="107" t="str">
        <f>AL29</f>
        <v>Kommentar</v>
      </c>
      <c r="AP29" s="108"/>
    </row>
    <row r="30" spans="1:42" ht="119" x14ac:dyDescent="0.2">
      <c r="A30" s="1" t="s">
        <v>22</v>
      </c>
      <c r="B30" s="49"/>
      <c r="C30" s="2">
        <v>2</v>
      </c>
      <c r="D30" s="154"/>
      <c r="E30" s="193"/>
      <c r="F30" s="193"/>
      <c r="G30" s="155"/>
      <c r="H30" s="199"/>
      <c r="I30" s="199"/>
      <c r="J30" s="155"/>
      <c r="K30" s="200"/>
      <c r="L30" s="200"/>
      <c r="M30" s="155"/>
      <c r="N30" s="217"/>
      <c r="O30" s="217"/>
      <c r="P30" s="155"/>
      <c r="Q30" s="200"/>
      <c r="R30" s="200"/>
      <c r="S30" s="155"/>
      <c r="T30" s="200"/>
      <c r="U30" s="200"/>
      <c r="V30" s="155"/>
      <c r="W30" s="200"/>
      <c r="X30" s="200"/>
      <c r="Y30" s="155"/>
      <c r="Z30" s="200"/>
      <c r="AA30" s="200"/>
      <c r="AB30" s="155"/>
      <c r="AC30" s="200"/>
      <c r="AD30" s="200"/>
      <c r="AE30" s="155"/>
      <c r="AF30" s="200"/>
      <c r="AG30" s="200"/>
      <c r="AH30" s="182"/>
      <c r="AI30" s="200"/>
      <c r="AJ30" s="200"/>
      <c r="AK30" s="155"/>
      <c r="AL30" s="200"/>
      <c r="AM30" s="200"/>
      <c r="AN30" s="155"/>
      <c r="AO30" s="200"/>
      <c r="AP30" s="200"/>
    </row>
    <row r="31" spans="1:42" ht="119" x14ac:dyDescent="0.2">
      <c r="A31" s="1" t="s">
        <v>25</v>
      </c>
      <c r="B31" s="49"/>
      <c r="C31" s="2">
        <v>3.5</v>
      </c>
      <c r="D31" s="154"/>
      <c r="E31" s="193"/>
      <c r="F31" s="193"/>
      <c r="G31" s="155"/>
      <c r="H31" s="199"/>
      <c r="I31" s="199"/>
      <c r="J31" s="155"/>
      <c r="K31" s="200"/>
      <c r="L31" s="200"/>
      <c r="M31" s="155"/>
      <c r="N31" s="217"/>
      <c r="O31" s="217"/>
      <c r="P31" s="155"/>
      <c r="Q31" s="200"/>
      <c r="R31" s="200"/>
      <c r="S31" s="155"/>
      <c r="T31" s="200"/>
      <c r="U31" s="200"/>
      <c r="V31" s="155"/>
      <c r="W31" s="200"/>
      <c r="X31" s="200"/>
      <c r="Y31" s="155"/>
      <c r="Z31" s="200"/>
      <c r="AA31" s="200"/>
      <c r="AB31" s="155"/>
      <c r="AC31" s="200"/>
      <c r="AD31" s="200"/>
      <c r="AE31" s="155"/>
      <c r="AF31" s="200"/>
      <c r="AG31" s="200"/>
      <c r="AH31" s="182"/>
      <c r="AI31" s="200"/>
      <c r="AJ31" s="200"/>
      <c r="AK31" s="155"/>
      <c r="AL31" s="200"/>
      <c r="AM31" s="200"/>
      <c r="AN31" s="155"/>
      <c r="AO31" s="200"/>
      <c r="AP31" s="200"/>
    </row>
    <row r="32" spans="1:42" ht="119" x14ac:dyDescent="0.2">
      <c r="A32" s="74" t="s">
        <v>29</v>
      </c>
      <c r="B32" s="49" t="s">
        <v>66</v>
      </c>
      <c r="C32" s="2">
        <v>3.5</v>
      </c>
      <c r="D32" s="154"/>
      <c r="E32" s="193"/>
      <c r="F32" s="193"/>
      <c r="G32" s="155"/>
      <c r="H32" s="199"/>
      <c r="I32" s="199"/>
      <c r="J32" s="155"/>
      <c r="K32" s="200"/>
      <c r="L32" s="200"/>
      <c r="M32" s="155"/>
      <c r="N32" s="217"/>
      <c r="O32" s="217"/>
      <c r="P32" s="155"/>
      <c r="Q32" s="200"/>
      <c r="R32" s="200"/>
      <c r="S32" s="155"/>
      <c r="T32" s="200"/>
      <c r="U32" s="200"/>
      <c r="V32" s="155"/>
      <c r="W32" s="200"/>
      <c r="X32" s="200"/>
      <c r="Y32" s="155"/>
      <c r="Z32" s="200"/>
      <c r="AA32" s="200"/>
      <c r="AB32" s="155"/>
      <c r="AC32" s="200"/>
      <c r="AD32" s="200"/>
      <c r="AE32" s="155"/>
      <c r="AF32" s="200"/>
      <c r="AG32" s="200"/>
      <c r="AH32" s="182"/>
      <c r="AI32" s="200"/>
      <c r="AJ32" s="200"/>
      <c r="AK32" s="155"/>
      <c r="AL32" s="200"/>
      <c r="AM32" s="200"/>
      <c r="AN32" s="155"/>
      <c r="AO32" s="200"/>
      <c r="AP32" s="200"/>
    </row>
    <row r="33" spans="1:42" ht="102" x14ac:dyDescent="0.2">
      <c r="A33" s="1" t="s">
        <v>28</v>
      </c>
      <c r="B33" s="49"/>
      <c r="C33" s="2">
        <v>2</v>
      </c>
      <c r="D33" s="154"/>
      <c r="E33" s="193"/>
      <c r="F33" s="193"/>
      <c r="G33" s="155"/>
      <c r="H33" s="199"/>
      <c r="I33" s="199"/>
      <c r="J33" s="155"/>
      <c r="K33" s="200"/>
      <c r="L33" s="200"/>
      <c r="M33" s="155"/>
      <c r="N33" s="217"/>
      <c r="O33" s="217"/>
      <c r="P33" s="155"/>
      <c r="Q33" s="200"/>
      <c r="R33" s="200"/>
      <c r="S33" s="155"/>
      <c r="T33" s="200"/>
      <c r="U33" s="200"/>
      <c r="V33" s="155"/>
      <c r="W33" s="200"/>
      <c r="X33" s="200"/>
      <c r="Y33" s="155"/>
      <c r="Z33" s="200"/>
      <c r="AA33" s="200"/>
      <c r="AB33" s="155"/>
      <c r="AC33" s="200"/>
      <c r="AD33" s="200"/>
      <c r="AE33" s="155"/>
      <c r="AF33" s="200"/>
      <c r="AG33" s="200"/>
      <c r="AH33" s="182"/>
      <c r="AI33" s="200"/>
      <c r="AJ33" s="200"/>
      <c r="AK33" s="155"/>
      <c r="AL33" s="200"/>
      <c r="AM33" s="200"/>
      <c r="AN33" s="155"/>
      <c r="AO33" s="200"/>
      <c r="AP33" s="200"/>
    </row>
    <row r="34" spans="1:42" ht="68" x14ac:dyDescent="0.2">
      <c r="A34" s="1" t="s">
        <v>26</v>
      </c>
      <c r="B34" s="49"/>
      <c r="C34" s="2">
        <v>2</v>
      </c>
      <c r="D34" s="154"/>
      <c r="E34" s="193"/>
      <c r="F34" s="193"/>
      <c r="G34" s="155"/>
      <c r="H34" s="199"/>
      <c r="I34" s="199"/>
      <c r="J34" s="155"/>
      <c r="K34" s="200"/>
      <c r="L34" s="200"/>
      <c r="M34" s="155"/>
      <c r="N34" s="217"/>
      <c r="O34" s="217"/>
      <c r="P34" s="155"/>
      <c r="Q34" s="200"/>
      <c r="R34" s="200"/>
      <c r="S34" s="155"/>
      <c r="T34" s="200"/>
      <c r="U34" s="200"/>
      <c r="V34" s="155"/>
      <c r="W34" s="200"/>
      <c r="X34" s="200"/>
      <c r="Y34" s="155"/>
      <c r="Z34" s="200"/>
      <c r="AA34" s="200"/>
      <c r="AB34" s="155"/>
      <c r="AC34" s="200"/>
      <c r="AD34" s="200"/>
      <c r="AE34" s="155"/>
      <c r="AF34" s="200"/>
      <c r="AG34" s="200"/>
      <c r="AH34" s="182"/>
      <c r="AI34" s="200"/>
      <c r="AJ34" s="200"/>
      <c r="AK34" s="155"/>
      <c r="AL34" s="200"/>
      <c r="AM34" s="200"/>
      <c r="AN34" s="155"/>
      <c r="AO34" s="200"/>
      <c r="AP34" s="200"/>
    </row>
    <row r="35" spans="1:42" ht="119" x14ac:dyDescent="0.2">
      <c r="A35" s="74" t="s">
        <v>89</v>
      </c>
      <c r="B35" s="49"/>
      <c r="C35" s="2">
        <v>1</v>
      </c>
      <c r="D35" s="154"/>
      <c r="E35" s="193"/>
      <c r="F35" s="193"/>
      <c r="G35" s="155"/>
      <c r="H35" s="199"/>
      <c r="I35" s="199"/>
      <c r="J35" s="155"/>
      <c r="K35" s="200"/>
      <c r="L35" s="200"/>
      <c r="M35" s="155"/>
      <c r="N35" s="217"/>
      <c r="O35" s="217"/>
      <c r="P35" s="155"/>
      <c r="Q35" s="200"/>
      <c r="R35" s="200"/>
      <c r="S35" s="155"/>
      <c r="T35" s="200"/>
      <c r="U35" s="200"/>
      <c r="V35" s="155"/>
      <c r="W35" s="200"/>
      <c r="X35" s="200"/>
      <c r="Y35" s="155"/>
      <c r="Z35" s="200"/>
      <c r="AA35" s="200"/>
      <c r="AB35" s="155"/>
      <c r="AC35" s="200"/>
      <c r="AD35" s="200"/>
      <c r="AE35" s="155"/>
      <c r="AF35" s="200"/>
      <c r="AG35" s="200"/>
      <c r="AH35" s="182"/>
      <c r="AI35" s="200"/>
      <c r="AJ35" s="200"/>
      <c r="AK35" s="155"/>
      <c r="AL35" s="200"/>
      <c r="AM35" s="200"/>
      <c r="AN35" s="155"/>
      <c r="AO35" s="200"/>
      <c r="AP35" s="200"/>
    </row>
    <row r="36" spans="1:42" ht="68" x14ac:dyDescent="0.2">
      <c r="A36" s="1" t="s">
        <v>90</v>
      </c>
      <c r="B36" s="49"/>
      <c r="C36" s="2">
        <v>1</v>
      </c>
      <c r="D36" s="154"/>
      <c r="E36" s="193"/>
      <c r="F36" s="193"/>
      <c r="G36" s="155"/>
      <c r="H36" s="199"/>
      <c r="I36" s="199"/>
      <c r="J36" s="155"/>
      <c r="K36" s="200"/>
      <c r="L36" s="200"/>
      <c r="M36" s="155"/>
      <c r="N36" s="217"/>
      <c r="O36" s="217"/>
      <c r="P36" s="155"/>
      <c r="Q36" s="200"/>
      <c r="R36" s="200"/>
      <c r="S36" s="155"/>
      <c r="T36" s="200"/>
      <c r="U36" s="200"/>
      <c r="V36" s="155"/>
      <c r="W36" s="200"/>
      <c r="X36" s="200"/>
      <c r="Y36" s="155"/>
      <c r="Z36" s="200"/>
      <c r="AA36" s="200"/>
      <c r="AB36" s="155"/>
      <c r="AC36" s="200"/>
      <c r="AD36" s="200"/>
      <c r="AE36" s="155"/>
      <c r="AF36" s="200"/>
      <c r="AG36" s="200"/>
      <c r="AH36" s="182"/>
      <c r="AI36" s="200"/>
      <c r="AJ36" s="200"/>
      <c r="AK36" s="155"/>
      <c r="AL36" s="200"/>
      <c r="AM36" s="200"/>
      <c r="AN36" s="155"/>
      <c r="AO36" s="200"/>
      <c r="AP36" s="200"/>
    </row>
    <row r="37" spans="1:42" ht="17" x14ac:dyDescent="0.2">
      <c r="A37" s="8" t="s">
        <v>24</v>
      </c>
      <c r="B37" s="28" t="s">
        <v>47</v>
      </c>
      <c r="C37" s="2">
        <f>SUM(C30:C36)</f>
        <v>15</v>
      </c>
      <c r="D37" s="157">
        <f>SUM(D30:D36)</f>
        <v>0</v>
      </c>
      <c r="E37" s="193"/>
      <c r="F37" s="193"/>
      <c r="G37" s="157">
        <f>SUM(G30:G36)</f>
        <v>0</v>
      </c>
      <c r="H37" s="199"/>
      <c r="I37" s="199"/>
      <c r="J37" s="156">
        <f>SUM(J30:J36)</f>
        <v>0</v>
      </c>
      <c r="K37" s="200"/>
      <c r="L37" s="200"/>
      <c r="M37" s="157">
        <f>SUM(M30:M36)</f>
        <v>0</v>
      </c>
      <c r="N37" s="219"/>
      <c r="O37" s="219"/>
      <c r="P37" s="157">
        <f>SUM(P30:P36)</f>
        <v>0</v>
      </c>
      <c r="Q37" s="200"/>
      <c r="R37" s="200"/>
      <c r="S37" s="157">
        <f>SUM(S30:S36)</f>
        <v>0</v>
      </c>
      <c r="T37" s="200"/>
      <c r="U37" s="200"/>
      <c r="V37" s="157">
        <f>SUM(V30:V36)</f>
        <v>0</v>
      </c>
      <c r="W37" s="217"/>
      <c r="X37" s="217"/>
      <c r="Y37" s="157">
        <f>SUM(Y30:Y36)</f>
        <v>0</v>
      </c>
      <c r="Z37" s="200"/>
      <c r="AA37" s="200"/>
      <c r="AB37" s="157">
        <f>SUM(AB30:AB36)</f>
        <v>0</v>
      </c>
      <c r="AC37" s="217"/>
      <c r="AD37" s="217"/>
      <c r="AE37" s="157">
        <f>SUM(AE30:AE36)</f>
        <v>0</v>
      </c>
      <c r="AF37" s="200"/>
      <c r="AG37" s="200"/>
      <c r="AH37" s="157">
        <f>SUM(AH30:AH36)</f>
        <v>0</v>
      </c>
      <c r="AI37" s="200"/>
      <c r="AJ37" s="200"/>
      <c r="AK37" s="157">
        <f>SUM(AK30:AK36)</f>
        <v>0</v>
      </c>
      <c r="AL37" s="200"/>
      <c r="AM37" s="200"/>
      <c r="AN37" s="157">
        <f>SUM(AN30:AN36)</f>
        <v>0</v>
      </c>
      <c r="AO37" s="200"/>
      <c r="AP37" s="200"/>
    </row>
    <row r="38" spans="1:42" s="45" customFormat="1" ht="17" x14ac:dyDescent="0.2">
      <c r="A38" s="41" t="s">
        <v>27</v>
      </c>
      <c r="B38" s="42"/>
      <c r="C38" s="43"/>
      <c r="D38" s="44" t="str">
        <f>"Gruppe: " &amp; E2</f>
        <v xml:space="preserve">Gruppe: </v>
      </c>
      <c r="E38" s="92"/>
      <c r="F38" s="85"/>
      <c r="G38" s="79" t="str">
        <f t="shared" ref="G38" si="48">"Gruppe: " &amp; H2</f>
        <v xml:space="preserve">Gruppe: </v>
      </c>
      <c r="H38" s="114"/>
      <c r="I38" s="112"/>
      <c r="J38" s="79" t="str">
        <f t="shared" ref="J38" si="49">"Gruppe: " &amp; K2</f>
        <v xml:space="preserve">Gruppe: </v>
      </c>
      <c r="K38" s="92"/>
      <c r="L38" s="85"/>
      <c r="M38" s="79" t="str">
        <f t="shared" ref="M38" si="50">"Gruppe: " &amp; N2</f>
        <v xml:space="preserve">Gruppe: </v>
      </c>
      <c r="N38" s="81"/>
      <c r="O38" s="82"/>
      <c r="P38" s="79" t="str">
        <f t="shared" ref="P38" si="51">"Gruppe: " &amp; Q2</f>
        <v xml:space="preserve">Gruppe: </v>
      </c>
      <c r="Q38" s="81"/>
      <c r="R38" s="82"/>
      <c r="S38" s="79" t="str">
        <f t="shared" ref="S38" si="52">"Gruppe: " &amp; T2</f>
        <v xml:space="preserve">Gruppe: </v>
      </c>
      <c r="T38" s="81"/>
      <c r="U38" s="82"/>
      <c r="V38" s="79" t="str">
        <f t="shared" ref="V38" si="53">"Gruppe: " &amp; W2</f>
        <v xml:space="preserve">Gruppe: </v>
      </c>
      <c r="W38" s="92"/>
      <c r="X38" s="85"/>
      <c r="Y38" s="79" t="str">
        <f t="shared" ref="Y38" si="54">"Gruppe: " &amp; Z2</f>
        <v xml:space="preserve">Gruppe: </v>
      </c>
      <c r="Z38" s="92"/>
      <c r="AA38" s="85"/>
      <c r="AB38" s="79" t="str">
        <f t="shared" ref="AB38" si="55">"Gruppe: " &amp; AC2</f>
        <v xml:space="preserve">Gruppe: </v>
      </c>
      <c r="AC38" s="92"/>
      <c r="AD38" s="85"/>
      <c r="AE38" s="79" t="str">
        <f t="shared" ref="AE38" si="56">"Gruppe: " &amp; AF2</f>
        <v xml:space="preserve">Gruppe: </v>
      </c>
      <c r="AF38" s="92"/>
      <c r="AG38" s="85"/>
      <c r="AH38" s="79" t="str">
        <f t="shared" ref="AH38" si="57">"Gruppe: " &amp; AI2</f>
        <v xml:space="preserve">Gruppe: </v>
      </c>
      <c r="AI38" s="92"/>
      <c r="AJ38" s="85"/>
      <c r="AK38" s="79" t="str">
        <f t="shared" ref="AK38" si="58">"Gruppe: " &amp; AL2</f>
        <v xml:space="preserve">Gruppe: </v>
      </c>
      <c r="AL38" s="92"/>
      <c r="AM38" s="85"/>
      <c r="AN38" s="79" t="str">
        <f t="shared" ref="AN38" si="59">"Gruppe: " &amp; AO2</f>
        <v xml:space="preserve">Gruppe: </v>
      </c>
      <c r="AO38" s="92"/>
      <c r="AP38" s="85"/>
    </row>
    <row r="39" spans="1:42" s="126" customFormat="1" ht="17" x14ac:dyDescent="0.2">
      <c r="A39" s="127" t="s">
        <v>9</v>
      </c>
      <c r="B39" s="123"/>
      <c r="C39" s="2">
        <f>C16</f>
        <v>2</v>
      </c>
      <c r="D39" s="124">
        <f>D16</f>
        <v>0</v>
      </c>
      <c r="E39" s="194" t="str">
        <f>"(" &amp; TEXT(D39/$C39, "0,0 %") &amp; ")"</f>
        <v>(0,0 %)</v>
      </c>
      <c r="F39" s="195"/>
      <c r="G39" s="125">
        <f>G16</f>
        <v>0</v>
      </c>
      <c r="H39" s="194" t="str">
        <f>"(" &amp; TEXT(G39/$C39, "0,0 %") &amp; ")"</f>
        <v>(0,0 %)</v>
      </c>
      <c r="I39" s="195"/>
      <c r="J39" s="128">
        <f>J16</f>
        <v>0</v>
      </c>
      <c r="K39" s="215" t="str">
        <f>"(" &amp; TEXT(J39/$C39, "0,0 %") &amp; ")"</f>
        <v>(0,0 %)</v>
      </c>
      <c r="L39" s="216"/>
      <c r="M39" s="128">
        <f>M16</f>
        <v>0</v>
      </c>
      <c r="N39" s="215" t="str">
        <f>"(" &amp; TEXT(M39/$C39, "0,0 %") &amp; ")"</f>
        <v>(0,0 %)</v>
      </c>
      <c r="O39" s="216"/>
      <c r="P39" s="128">
        <f>P16</f>
        <v>0</v>
      </c>
      <c r="Q39" s="215" t="str">
        <f>"(" &amp; TEXT(P39/$C39, "0,0 %") &amp; ")"</f>
        <v>(0,0 %)</v>
      </c>
      <c r="R39" s="216"/>
      <c r="S39" s="128">
        <f>S16</f>
        <v>0</v>
      </c>
      <c r="T39" s="215" t="str">
        <f>"(" &amp; TEXT(S39/$C39, "0,0 %") &amp; ")"</f>
        <v>(0,0 %)</v>
      </c>
      <c r="U39" s="216"/>
      <c r="V39" s="128">
        <f>V16</f>
        <v>0</v>
      </c>
      <c r="W39" s="215" t="str">
        <f>"(" &amp; TEXT(V39/$C39, "0,0 %") &amp; ")"</f>
        <v>(0,0 %)</v>
      </c>
      <c r="X39" s="216"/>
      <c r="Y39" s="128">
        <f>Y16</f>
        <v>0</v>
      </c>
      <c r="Z39" s="215" t="str">
        <f>"(" &amp; TEXT(Y39/$C39, "0,0 %") &amp; ")"</f>
        <v>(0,0 %)</v>
      </c>
      <c r="AA39" s="216"/>
      <c r="AB39" s="128">
        <f>AB16</f>
        <v>0</v>
      </c>
      <c r="AC39" s="215" t="str">
        <f>"(" &amp; TEXT(AB39/$C39, "0,0 %") &amp; ")"</f>
        <v>(0,0 %)</v>
      </c>
      <c r="AD39" s="216"/>
      <c r="AE39" s="128">
        <f>AE16</f>
        <v>0</v>
      </c>
      <c r="AF39" s="215" t="str">
        <f>"(" &amp; TEXT(AE39/$C39, "0,0 %") &amp; ")"</f>
        <v>(0,0 %)</v>
      </c>
      <c r="AG39" s="216"/>
      <c r="AH39" s="128">
        <f>AH16</f>
        <v>0</v>
      </c>
      <c r="AI39" s="215" t="str">
        <f>"(" &amp; TEXT(AH39/$C39, "0,0 %") &amp; ")"</f>
        <v>(0,0 %)</v>
      </c>
      <c r="AJ39" s="216"/>
      <c r="AK39" s="128">
        <f>AK16</f>
        <v>0</v>
      </c>
      <c r="AL39" s="215" t="str">
        <f>"(" &amp; TEXT(AK39/$C39, "0,0 %") &amp; ")"</f>
        <v>(0,0 %)</v>
      </c>
      <c r="AM39" s="216"/>
      <c r="AN39" s="128">
        <f>AN16</f>
        <v>0</v>
      </c>
      <c r="AO39" s="215" t="str">
        <f>"(" &amp; TEXT(AN39/$C39, "0,0 %") &amp; ")"</f>
        <v>(0,0 %)</v>
      </c>
      <c r="AP39" s="216"/>
    </row>
    <row r="40" spans="1:42" s="126" customFormat="1" ht="17" x14ac:dyDescent="0.2">
      <c r="A40" s="127" t="s">
        <v>10</v>
      </c>
      <c r="B40" s="123"/>
      <c r="C40" s="2">
        <f>C26</f>
        <v>8</v>
      </c>
      <c r="D40" s="124">
        <f>D26</f>
        <v>0</v>
      </c>
      <c r="E40" s="194" t="str">
        <f>"(" &amp; TEXT(D40/$C40, "0,0 %") &amp; ")"</f>
        <v>(0,0 %)</v>
      </c>
      <c r="F40" s="195"/>
      <c r="G40" s="125">
        <f>G26</f>
        <v>0</v>
      </c>
      <c r="H40" s="194" t="str">
        <f t="shared" ref="H40:H41" si="60">"(" &amp; TEXT(G40/$C40, "0,0 %") &amp; ")"</f>
        <v>(0,0 %)</v>
      </c>
      <c r="I40" s="195"/>
      <c r="J40" s="128">
        <f>J26</f>
        <v>0</v>
      </c>
      <c r="K40" s="215" t="str">
        <f t="shared" ref="K40" si="61">"(" &amp; TEXT(J40/$C40, "0,0 %") &amp; ")"</f>
        <v>(0,0 %)</v>
      </c>
      <c r="L40" s="216"/>
      <c r="M40" s="128">
        <f>M26</f>
        <v>0</v>
      </c>
      <c r="N40" s="215" t="str">
        <f t="shared" ref="N40" si="62">"(" &amp; TEXT(M40/$C40, "0,0 %") &amp; ")"</f>
        <v>(0,0 %)</v>
      </c>
      <c r="O40" s="216"/>
      <c r="P40" s="128">
        <f>P26</f>
        <v>0</v>
      </c>
      <c r="Q40" s="215" t="str">
        <f t="shared" ref="Q40" si="63">"(" &amp; TEXT(P40/$C40, "0,0 %") &amp; ")"</f>
        <v>(0,0 %)</v>
      </c>
      <c r="R40" s="216"/>
      <c r="S40" s="128">
        <f>S26</f>
        <v>0</v>
      </c>
      <c r="T40" s="215" t="str">
        <f t="shared" ref="T40" si="64">"(" &amp; TEXT(S40/$C40, "0,0 %") &amp; ")"</f>
        <v>(0,0 %)</v>
      </c>
      <c r="U40" s="216"/>
      <c r="V40" s="128">
        <f>V26</f>
        <v>0</v>
      </c>
      <c r="W40" s="215" t="str">
        <f t="shared" ref="W40" si="65">"(" &amp; TEXT(V40/$C40, "0,0 %") &amp; ")"</f>
        <v>(0,0 %)</v>
      </c>
      <c r="X40" s="216"/>
      <c r="Y40" s="128">
        <f>Y26</f>
        <v>0</v>
      </c>
      <c r="Z40" s="215" t="str">
        <f t="shared" ref="Z40" si="66">"(" &amp; TEXT(Y40/$C40, "0,0 %") &amp; ")"</f>
        <v>(0,0 %)</v>
      </c>
      <c r="AA40" s="216"/>
      <c r="AB40" s="128">
        <f>AB26</f>
        <v>0</v>
      </c>
      <c r="AC40" s="215" t="str">
        <f t="shared" ref="AC40" si="67">"(" &amp; TEXT(AB40/$C40, "0,0 %") &amp; ")"</f>
        <v>(0,0 %)</v>
      </c>
      <c r="AD40" s="216"/>
      <c r="AE40" s="128">
        <f>AE26</f>
        <v>0</v>
      </c>
      <c r="AF40" s="215" t="str">
        <f t="shared" ref="AF40" si="68">"(" &amp; TEXT(AE40/$C40, "0,0 %") &amp; ")"</f>
        <v>(0,0 %)</v>
      </c>
      <c r="AG40" s="216"/>
      <c r="AH40" s="128">
        <f>AH26</f>
        <v>0</v>
      </c>
      <c r="AI40" s="215" t="str">
        <f t="shared" ref="AI40:AI41" si="69">"(" &amp; TEXT(AH40/$C40, "0,0 %") &amp; ")"</f>
        <v>(0,0 %)</v>
      </c>
      <c r="AJ40" s="216"/>
      <c r="AK40" s="128">
        <f>AK26</f>
        <v>0</v>
      </c>
      <c r="AL40" s="215" t="str">
        <f t="shared" ref="AL40:AL41" si="70">"(" &amp; TEXT(AK40/$C40, "0,0 %") &amp; ")"</f>
        <v>(0,0 %)</v>
      </c>
      <c r="AM40" s="216"/>
      <c r="AN40" s="128">
        <f>AN26</f>
        <v>0</v>
      </c>
      <c r="AO40" s="215" t="str">
        <f t="shared" ref="AO40:AO41" si="71">"(" &amp; TEXT(AN40/$C40, "0,0 %") &amp; ")"</f>
        <v>(0,0 %)</v>
      </c>
      <c r="AP40" s="216"/>
    </row>
    <row r="41" spans="1:42" s="134" customFormat="1" ht="18" thickBot="1" x14ac:dyDescent="0.25">
      <c r="A41" s="129" t="s">
        <v>11</v>
      </c>
      <c r="B41" s="130"/>
      <c r="C41" s="4">
        <f>C37</f>
        <v>15</v>
      </c>
      <c r="D41" s="131">
        <f>D37</f>
        <v>0</v>
      </c>
      <c r="E41" s="189" t="str">
        <f>"(" &amp; TEXT(D41/$C41, "0,0 %") &amp; ")"</f>
        <v>(0,0 %)</v>
      </c>
      <c r="F41" s="190"/>
      <c r="G41" s="132">
        <f>G37</f>
        <v>0</v>
      </c>
      <c r="H41" s="189" t="str">
        <f t="shared" si="60"/>
        <v>(0,0 %)</v>
      </c>
      <c r="I41" s="190"/>
      <c r="J41" s="133">
        <f>J37</f>
        <v>0</v>
      </c>
      <c r="K41" s="213" t="str">
        <f t="shared" ref="K41" si="72">"(" &amp; TEXT(J41/$C41, "0,0 %") &amp; ")"</f>
        <v>(0,0 %)</v>
      </c>
      <c r="L41" s="214"/>
      <c r="M41" s="133">
        <f>M37</f>
        <v>0</v>
      </c>
      <c r="N41" s="213" t="str">
        <f>"(" &amp; TEXT(M41/$C41, "0,0 %") &amp; ")"</f>
        <v>(0,0 %)</v>
      </c>
      <c r="O41" s="214"/>
      <c r="P41" s="133">
        <f>P37</f>
        <v>0</v>
      </c>
      <c r="Q41" s="213" t="str">
        <f t="shared" ref="Q41" si="73">"(" &amp; TEXT(P41/$C41, "0,0 %") &amp; ")"</f>
        <v>(0,0 %)</v>
      </c>
      <c r="R41" s="214"/>
      <c r="S41" s="133">
        <f>S37</f>
        <v>0</v>
      </c>
      <c r="T41" s="213" t="str">
        <f t="shared" ref="T41" si="74">"(" &amp; TEXT(S41/$C41, "0,0 %") &amp; ")"</f>
        <v>(0,0 %)</v>
      </c>
      <c r="U41" s="214"/>
      <c r="V41" s="133">
        <f>V37</f>
        <v>0</v>
      </c>
      <c r="W41" s="213" t="str">
        <f t="shared" ref="W41" si="75">"(" &amp; TEXT(V41/$C41, "0,0 %") &amp; ")"</f>
        <v>(0,0 %)</v>
      </c>
      <c r="X41" s="214"/>
      <c r="Y41" s="133">
        <f>Y37</f>
        <v>0</v>
      </c>
      <c r="Z41" s="213" t="str">
        <f t="shared" ref="Z41" si="76">"(" &amp; TEXT(Y41/$C41, "0,0 %") &amp; ")"</f>
        <v>(0,0 %)</v>
      </c>
      <c r="AA41" s="214"/>
      <c r="AB41" s="133">
        <f>AB37</f>
        <v>0</v>
      </c>
      <c r="AC41" s="213" t="str">
        <f t="shared" ref="AC41" si="77">"(" &amp; TEXT(AB41/$C41, "0,0 %") &amp; ")"</f>
        <v>(0,0 %)</v>
      </c>
      <c r="AD41" s="214"/>
      <c r="AE41" s="133">
        <f>AE37</f>
        <v>0</v>
      </c>
      <c r="AF41" s="213" t="str">
        <f t="shared" ref="AF41" si="78">"(" &amp; TEXT(AE41/$C41, "0,0 %") &amp; ")"</f>
        <v>(0,0 %)</v>
      </c>
      <c r="AG41" s="214"/>
      <c r="AH41" s="133">
        <f>AH37</f>
        <v>0</v>
      </c>
      <c r="AI41" s="213" t="str">
        <f t="shared" si="69"/>
        <v>(0,0 %)</v>
      </c>
      <c r="AJ41" s="214"/>
      <c r="AK41" s="133">
        <f>AK37</f>
        <v>0</v>
      </c>
      <c r="AL41" s="213" t="str">
        <f t="shared" si="70"/>
        <v>(0,0 %)</v>
      </c>
      <c r="AM41" s="214"/>
      <c r="AN41" s="133">
        <f>AN37</f>
        <v>0</v>
      </c>
      <c r="AO41" s="213" t="str">
        <f t="shared" si="71"/>
        <v>(0,0 %)</v>
      </c>
      <c r="AP41" s="214"/>
    </row>
    <row r="42" spans="1:42" s="139" customFormat="1" ht="18" thickTop="1" x14ac:dyDescent="0.2">
      <c r="A42" s="8" t="s">
        <v>49</v>
      </c>
      <c r="B42" s="135"/>
      <c r="C42" s="3">
        <f>SUM(C39:C41)</f>
        <v>25</v>
      </c>
      <c r="D42" s="136">
        <f>SUM(D39:D41)*D45</f>
        <v>0</v>
      </c>
      <c r="E42" s="187" t="str">
        <f>"(" &amp; TEXT(D42/$C42, "0,0 %") &amp; ")"</f>
        <v>(0,0 %)</v>
      </c>
      <c r="F42" s="188"/>
      <c r="G42" s="137">
        <f>SUM(G39:G41)*G45</f>
        <v>0</v>
      </c>
      <c r="H42" s="187" t="str">
        <f>"(" &amp; TEXT(G42/$C42, "0,0 %") &amp; ")"</f>
        <v>(0,0 %)</v>
      </c>
      <c r="I42" s="188"/>
      <c r="J42" s="138">
        <f>SUM(J39:J41)*J45</f>
        <v>0</v>
      </c>
      <c r="K42" s="211" t="str">
        <f>"(" &amp; TEXT(J42/$C42, "0,0 %") &amp; ")"</f>
        <v>(0,0 %)</v>
      </c>
      <c r="L42" s="212"/>
      <c r="M42" s="138">
        <f>SUM(M39:M41)*M45</f>
        <v>0</v>
      </c>
      <c r="N42" s="211" t="str">
        <f>"(" &amp; TEXT(M42/$C42, "0,0 %") &amp; ")"</f>
        <v>(0,0 %)</v>
      </c>
      <c r="O42" s="212"/>
      <c r="P42" s="138">
        <f>SUM(P39:P41)*P45</f>
        <v>0</v>
      </c>
      <c r="Q42" s="211" t="str">
        <f>"(" &amp; TEXT(P42/$C42, "0,0 %") &amp; ")"</f>
        <v>(0,0 %)</v>
      </c>
      <c r="R42" s="212"/>
      <c r="S42" s="138">
        <f>SUM(S39:S41)*S45</f>
        <v>0</v>
      </c>
      <c r="T42" s="211" t="str">
        <f>"(" &amp; TEXT(S42/$C42, "0,0 %") &amp; ")"</f>
        <v>(0,0 %)</v>
      </c>
      <c r="U42" s="212"/>
      <c r="V42" s="138">
        <f>SUM(V39:V41)*V45</f>
        <v>0</v>
      </c>
      <c r="W42" s="211" t="str">
        <f>"(" &amp; TEXT(V42/$C42, "0,0 %") &amp; ")"</f>
        <v>(0,0 %)</v>
      </c>
      <c r="X42" s="212"/>
      <c r="Y42" s="138">
        <f>SUM(Y39:Y41)*Y45</f>
        <v>0</v>
      </c>
      <c r="Z42" s="211" t="str">
        <f>"(" &amp; TEXT(Y42/$C42, "0,0 %") &amp; ")"</f>
        <v>(0,0 %)</v>
      </c>
      <c r="AA42" s="212"/>
      <c r="AB42" s="138">
        <f>SUM(AB39:AB41)*AB45</f>
        <v>0</v>
      </c>
      <c r="AC42" s="211" t="str">
        <f>"(" &amp; TEXT(AB42/$C42, "0,0 %") &amp; ")"</f>
        <v>(0,0 %)</v>
      </c>
      <c r="AD42" s="212"/>
      <c r="AE42" s="138">
        <f>SUM(AE39:AE41)*AE45</f>
        <v>0</v>
      </c>
      <c r="AF42" s="211" t="str">
        <f>"(" &amp; TEXT(AE42/$C42, "0,0 %") &amp; ")"</f>
        <v>(0,0 %)</v>
      </c>
      <c r="AG42" s="212"/>
      <c r="AH42" s="138">
        <f>SUM(AH39:AH41)*AH45</f>
        <v>0</v>
      </c>
      <c r="AI42" s="211" t="str">
        <f>"(" &amp; TEXT(AH42/$C42, "0,0 %") &amp; ")"</f>
        <v>(0,0 %)</v>
      </c>
      <c r="AJ42" s="212"/>
      <c r="AK42" s="138">
        <f>SUM(AK39:AK41)*AK45</f>
        <v>0</v>
      </c>
      <c r="AL42" s="211" t="str">
        <f>"(" &amp; TEXT(AK42/$C42, "0,0 %") &amp; ")"</f>
        <v>(0,0 %)</v>
      </c>
      <c r="AM42" s="212"/>
      <c r="AN42" s="138">
        <f>SUM(AN39:AN41)*AN45</f>
        <v>0</v>
      </c>
      <c r="AO42" s="211" t="str">
        <f>"(" &amp; TEXT(AN42/$C42, "0,0 %") &amp; ")"</f>
        <v>(0,0 %)</v>
      </c>
      <c r="AP42" s="212"/>
    </row>
    <row r="43" spans="1:42" s="139" customFormat="1" ht="17" x14ac:dyDescent="0.2">
      <c r="A43" s="8" t="s">
        <v>50</v>
      </c>
      <c r="B43" s="135"/>
      <c r="C43" s="3">
        <f>C42</f>
        <v>25</v>
      </c>
      <c r="D43" s="136">
        <f>ROUNDUP(D42/5,1)*5</f>
        <v>0</v>
      </c>
      <c r="E43" s="185" t="str">
        <f>"(" &amp; TEXT(D43/$C43, "0,0 %") &amp; ")"</f>
        <v>(0,0 %)</v>
      </c>
      <c r="F43" s="186"/>
      <c r="G43" s="137">
        <f>ROUNDUP(G42/5,1)*5</f>
        <v>0</v>
      </c>
      <c r="H43" s="185" t="str">
        <f>"(" &amp; TEXT(G43/$C43, "0,0 %") &amp; ")"</f>
        <v>(0,0 %)</v>
      </c>
      <c r="I43" s="186"/>
      <c r="J43" s="137">
        <f>ROUNDUP(J42/5,1)*5</f>
        <v>0</v>
      </c>
      <c r="K43" s="205" t="str">
        <f>"(" &amp; TEXT(J43/$C43, "0,0 %") &amp; ")"</f>
        <v>(0,0 %)</v>
      </c>
      <c r="L43" s="206"/>
      <c r="M43" s="137">
        <f>ROUNDUP(M42/5,1)*5</f>
        <v>0</v>
      </c>
      <c r="N43" s="205" t="str">
        <f>"(" &amp; TEXT(M43/$C43, "0,0 %") &amp; ")"</f>
        <v>(0,0 %)</v>
      </c>
      <c r="O43" s="206"/>
      <c r="P43" s="137">
        <f>ROUNDUP(P42/5,1)*5</f>
        <v>0</v>
      </c>
      <c r="Q43" s="205" t="str">
        <f>"(" &amp; TEXT(P43/$C43, "0,0 %") &amp; ")"</f>
        <v>(0,0 %)</v>
      </c>
      <c r="R43" s="206"/>
      <c r="S43" s="137">
        <f>ROUNDUP(S42/5,1)*5</f>
        <v>0</v>
      </c>
      <c r="T43" s="205" t="str">
        <f>"(" &amp; TEXT(S43/$C43, "0,0 %") &amp; ")"</f>
        <v>(0,0 %)</v>
      </c>
      <c r="U43" s="206"/>
      <c r="V43" s="137">
        <f>ROUNDUP(V42/5,1)*5</f>
        <v>0</v>
      </c>
      <c r="W43" s="205" t="str">
        <f>"(" &amp; TEXT(V43/$C43, "0,0 %") &amp; ")"</f>
        <v>(0,0 %)</v>
      </c>
      <c r="X43" s="206"/>
      <c r="Y43" s="137">
        <f>ROUNDUP(Y42/5,1)*5</f>
        <v>0</v>
      </c>
      <c r="Z43" s="205" t="str">
        <f>"(" &amp; TEXT(Y43/$C43, "0,0 %") &amp; ")"</f>
        <v>(0,0 %)</v>
      </c>
      <c r="AA43" s="206"/>
      <c r="AB43" s="137">
        <f>ROUNDUP(AB42/5,1)*5</f>
        <v>0</v>
      </c>
      <c r="AC43" s="205" t="str">
        <f>"(" &amp; TEXT(AB43/$C43, "0,0 %") &amp; ")"</f>
        <v>(0,0 %)</v>
      </c>
      <c r="AD43" s="206"/>
      <c r="AE43" s="137">
        <f>ROUNDUP(AE42/5,1)*5</f>
        <v>0</v>
      </c>
      <c r="AF43" s="205" t="str">
        <f>"(" &amp; TEXT(AE43/$C43, "0,0 %") &amp; ")"</f>
        <v>(0,0 %)</v>
      </c>
      <c r="AG43" s="206"/>
      <c r="AH43" s="137">
        <f>ROUNDUP(AH42/5,1)*5</f>
        <v>0</v>
      </c>
      <c r="AI43" s="205" t="str">
        <f>"(" &amp; TEXT(AH43/$C43, "0,0 %") &amp; ")"</f>
        <v>(0,0 %)</v>
      </c>
      <c r="AJ43" s="206"/>
      <c r="AK43" s="137">
        <f>ROUNDUP(AK42/5,1)*5</f>
        <v>0</v>
      </c>
      <c r="AL43" s="205" t="str">
        <f>"(" &amp; TEXT(AK43/$C43, "0,0 %") &amp; ")"</f>
        <v>(0,0 %)</v>
      </c>
      <c r="AM43" s="206"/>
      <c r="AN43" s="137">
        <f>ROUNDUP(AN42/5,1)*5</f>
        <v>0</v>
      </c>
      <c r="AO43" s="205" t="str">
        <f>"(" &amp; TEXT(AN43/$C43, "0,0 %") &amp; ")"</f>
        <v>(0,0 %)</v>
      </c>
      <c r="AP43" s="206"/>
    </row>
    <row r="44" spans="1:42" s="139" customFormat="1" ht="17" x14ac:dyDescent="0.2">
      <c r="A44" s="8" t="s">
        <v>84</v>
      </c>
      <c r="B44" s="135"/>
      <c r="C44" s="3" t="s">
        <v>51</v>
      </c>
      <c r="D44" s="140" t="e">
        <f ca="1">_xlfn.PERCENTRANK.INC(Endergebnis_gerundet,D43,4)</f>
        <v>#N/A</v>
      </c>
      <c r="E44" s="185" t="e">
        <f ca="1">"( " &amp; IF(ISBLANK(D44),"-",IF(D44&gt;=0.9,"A",IF(D44&gt;=0.65,"B",IF(D44&gt;=0.35,"C",IF(D44&gt;=0.1,"D","E"))))) &amp; " )"</f>
        <v>#N/A</v>
      </c>
      <c r="F44" s="186"/>
      <c r="G44" s="141" t="e">
        <f ca="1">_xlfn.PERCENTRANK.INC(Endergebnis_gerundet,G43,4)</f>
        <v>#N/A</v>
      </c>
      <c r="H44" s="185" t="e">
        <f ca="1">"( " &amp; IF(ISBLANK(G44),"-",IF(G44&gt;=0.9,"A",IF(G44&gt;=0.65,"B",IF(G44&gt;=0.35,"C",IF(G44&gt;=0.1,"D","E"))))) &amp; " )"</f>
        <v>#N/A</v>
      </c>
      <c r="I44" s="186"/>
      <c r="J44" s="141" t="e">
        <f ca="1">_xlfn.PERCENTRANK.INC(Endergebnis_gerundet,J43,4)</f>
        <v>#N/A</v>
      </c>
      <c r="K44" s="205" t="e">
        <f ca="1">"( " &amp; IF(ISBLANK(J44),"-",IF(J44&gt;=0.9,"A",IF(J44&gt;=0.65,"B",IF(J44&gt;=0.35,"C",IF(J44&gt;=0.1,"D","E"))))) &amp; " )"</f>
        <v>#N/A</v>
      </c>
      <c r="L44" s="206"/>
      <c r="M44" s="141" t="e">
        <f ca="1">_xlfn.PERCENTRANK.INC(Endergebnis_gerundet,M43,4)</f>
        <v>#N/A</v>
      </c>
      <c r="N44" s="205" t="e">
        <f ca="1">"( " &amp; IF(ISBLANK(M44),"-",IF(M44&gt;=0.9,"A",IF(M44&gt;=0.65,"B",IF(M44&gt;=0.35,"C",IF(M44&gt;=0.1,"D","E"))))) &amp; " )"</f>
        <v>#N/A</v>
      </c>
      <c r="O44" s="206"/>
      <c r="P44" s="141" t="e">
        <f ca="1">_xlfn.PERCENTRANK.INC(Endergebnis_gerundet,P43,4)</f>
        <v>#N/A</v>
      </c>
      <c r="Q44" s="205" t="e">
        <f ca="1">"( " &amp; IF(ISBLANK(P44),"-",IF(P44&gt;=0.9,"A",IF(P44&gt;=0.65,"B",IF(P44&gt;=0.35,"C",IF(P44&gt;=0.1,"D","E"))))) &amp; " )"</f>
        <v>#N/A</v>
      </c>
      <c r="R44" s="206"/>
      <c r="S44" s="141" t="e">
        <f ca="1">_xlfn.PERCENTRANK.INC(Endergebnis_gerundet,S43,4)</f>
        <v>#N/A</v>
      </c>
      <c r="T44" s="205" t="e">
        <f ca="1">"( " &amp; IF(ISBLANK(S44),"-",IF(S44&gt;=0.9,"A",IF(S44&gt;=0.65,"B",IF(S44&gt;=0.35,"C",IF(S44&gt;=0.1,"D","E"))))) &amp; " )"</f>
        <v>#N/A</v>
      </c>
      <c r="U44" s="206"/>
      <c r="V44" s="141" t="e">
        <f ca="1">_xlfn.PERCENTRANK.INC(Endergebnis_gerundet,V43,4)</f>
        <v>#N/A</v>
      </c>
      <c r="W44" s="205" t="e">
        <f ca="1">"( " &amp; IF(ISBLANK(V44),"-",IF(V44&gt;=0.9,"A",IF(V44&gt;=0.65,"B",IF(V44&gt;=0.35,"C",IF(V44&gt;=0.1,"D","E"))))) &amp; " )"</f>
        <v>#N/A</v>
      </c>
      <c r="X44" s="206"/>
      <c r="Y44" s="141" t="e">
        <f ca="1">_xlfn.PERCENTRANK.INC(Endergebnis_gerundet,Y43,4)</f>
        <v>#N/A</v>
      </c>
      <c r="Z44" s="205" t="e">
        <f ca="1">"( " &amp; IF(ISBLANK(Y44),"-",IF(Y44&gt;=0.9,"A",IF(Y44&gt;=0.65,"B",IF(Y44&gt;=0.35,"C",IF(Y44&gt;=0.1,"D","E"))))) &amp; " )"</f>
        <v>#N/A</v>
      </c>
      <c r="AA44" s="206"/>
      <c r="AB44" s="141" t="e">
        <f ca="1">_xlfn.PERCENTRANK.INC(Endergebnis_gerundet,AB43,4)</f>
        <v>#N/A</v>
      </c>
      <c r="AC44" s="205" t="e">
        <f ca="1">"( " &amp; IF(ISBLANK(AB44),"-",IF(AB44&gt;=0.9,"A",IF(AB44&gt;=0.65,"B",IF(AB44&gt;=0.35,"C",IF(AB44&gt;=0.1,"D","E"))))) &amp; " )"</f>
        <v>#N/A</v>
      </c>
      <c r="AD44" s="206"/>
      <c r="AE44" s="142" t="e">
        <f ca="1">_xlfn.PERCENTRANK.INC(Endergebnis_gerundet,AE43,4)</f>
        <v>#N/A</v>
      </c>
      <c r="AF44" s="205" t="e">
        <f ca="1">"( " &amp; IF(ISBLANK(AE44),"-",IF(AE44&gt;=0.9,"A",IF(AE44&gt;=0.65,"B",IF(AE44&gt;=0.35,"C",IF(AE44&gt;=0.1,"D","E"))))) &amp; " )"</f>
        <v>#N/A</v>
      </c>
      <c r="AG44" s="206"/>
      <c r="AH44" s="142" t="e">
        <f ca="1">_xlfn.PERCENTRANK.INC(Endergebnis_gerundet,AH43,4)</f>
        <v>#N/A</v>
      </c>
      <c r="AI44" s="205" t="e">
        <f ca="1">"( " &amp; IF(ISBLANK(AH44),"-",IF(AH44&gt;=0.9,"A",IF(AH44&gt;=0.65,"B",IF(AH44&gt;=0.35,"C",IF(AH44&gt;=0.1,"D","E"))))) &amp; " )"</f>
        <v>#N/A</v>
      </c>
      <c r="AJ44" s="206"/>
      <c r="AK44" s="142" t="e">
        <f ca="1">_xlfn.PERCENTRANK.INC(Endergebnis_gerundet,AK43,4)</f>
        <v>#N/A</v>
      </c>
      <c r="AL44" s="205" t="e">
        <f ca="1">"( " &amp; IF(ISBLANK(AK44),"-",IF(AK44&gt;=0.9,"A",IF(AK44&gt;=0.65,"B",IF(AK44&gt;=0.35,"C",IF(AK44&gt;=0.1,"D","E"))))) &amp; " )"</f>
        <v>#N/A</v>
      </c>
      <c r="AM44" s="206"/>
      <c r="AN44" s="142" t="e">
        <f ca="1">_xlfn.PERCENTRANK.INC(Endergebnis_gerundet,AN43,4)</f>
        <v>#N/A</v>
      </c>
      <c r="AO44" s="205" t="e">
        <f ca="1">"( " &amp; IF(ISBLANK(AN44),"-",IF(AN44&gt;=0.9,"A",IF(AN44&gt;=0.65,"B",IF(AN44&gt;=0.35,"C",IF(AN44&gt;=0.1,"D","E"))))) &amp; " )"</f>
        <v>#N/A</v>
      </c>
      <c r="AP44" s="206"/>
    </row>
    <row r="45" spans="1:42" ht="17" x14ac:dyDescent="0.2">
      <c r="A45" s="168" t="s">
        <v>88</v>
      </c>
      <c r="B45" s="169" t="s">
        <v>92</v>
      </c>
      <c r="C45" s="171">
        <f xml:space="preserve"> 0.5 * (C39+C40)</f>
        <v>5</v>
      </c>
      <c r="D45" s="124" t="b">
        <f>D39+D40 &gt;= $C$45</f>
        <v>0</v>
      </c>
      <c r="E45" s="183" t="str">
        <f>IF(D45, "Bestanden", "Nicht Bestanden")</f>
        <v>Nicht Bestanden</v>
      </c>
      <c r="F45" s="184"/>
      <c r="G45" s="124" t="b">
        <f>G39+G40 &gt;= $C$45</f>
        <v>0</v>
      </c>
      <c r="H45" s="183" t="str">
        <f>IF(G45, "Bestanden", "Nicht Bestanden")</f>
        <v>Nicht Bestanden</v>
      </c>
      <c r="I45" s="184"/>
      <c r="J45" s="124" t="b">
        <f>J39+J40 &gt;= $C$45</f>
        <v>0</v>
      </c>
      <c r="K45" s="183" t="str">
        <f>IF(J45, "Bestanden", "Nicht Bestanden")</f>
        <v>Nicht Bestanden</v>
      </c>
      <c r="L45" s="184"/>
      <c r="M45" s="124" t="b">
        <f>M39+M40 &gt;= $C$45</f>
        <v>0</v>
      </c>
      <c r="N45" s="183" t="str">
        <f>IF(M45, "Bestanden", "Nicht Bestanden")</f>
        <v>Nicht Bestanden</v>
      </c>
      <c r="O45" s="184"/>
      <c r="P45" s="124" t="b">
        <f>P39+P40 &gt;= $C$45</f>
        <v>0</v>
      </c>
      <c r="Q45" s="183" t="str">
        <f>IF(P45, "Bestanden", "Nicht Bestanden")</f>
        <v>Nicht Bestanden</v>
      </c>
      <c r="R45" s="184"/>
      <c r="S45" s="124" t="b">
        <f>S39+S40 &gt;= $C$45</f>
        <v>0</v>
      </c>
      <c r="T45" s="183" t="str">
        <f>IF(S45, "Bestanden", "Nicht Bestanden")</f>
        <v>Nicht Bestanden</v>
      </c>
      <c r="U45" s="184"/>
      <c r="V45" s="124" t="b">
        <f>V39+V40 &gt;= $C$45</f>
        <v>0</v>
      </c>
      <c r="W45" s="183" t="str">
        <f>IF(V45, "Bestanden", "Nicht Bestanden")</f>
        <v>Nicht Bestanden</v>
      </c>
      <c r="X45" s="184"/>
      <c r="Y45" s="124" t="b">
        <f>Y39+Y40 &gt;= $C$45</f>
        <v>0</v>
      </c>
      <c r="Z45" s="183" t="str">
        <f>IF(Y45, "Bestanden", "Nicht Bestanden")</f>
        <v>Nicht Bestanden</v>
      </c>
      <c r="AA45" s="184"/>
      <c r="AB45" s="124" t="b">
        <f>AB39+AB40 &gt;= $C$45</f>
        <v>0</v>
      </c>
      <c r="AC45" s="183" t="str">
        <f>IF(AB45, "Bestanden", "Nicht Bestanden")</f>
        <v>Nicht Bestanden</v>
      </c>
      <c r="AD45" s="184"/>
      <c r="AE45" s="124" t="b">
        <f>AE39+AE40 &gt;= $C$45</f>
        <v>0</v>
      </c>
      <c r="AF45" s="183" t="str">
        <f>IF(AE45, "Bestanden", "Nicht Bestanden")</f>
        <v>Nicht Bestanden</v>
      </c>
      <c r="AG45" s="184"/>
      <c r="AH45" s="124" t="b">
        <f>AH39+AH40 &gt;= $C$45</f>
        <v>0</v>
      </c>
      <c r="AI45" s="183" t="str">
        <f>IF(AH45, "Bestanden", "Nicht Bestanden")</f>
        <v>Nicht Bestanden</v>
      </c>
      <c r="AJ45" s="184"/>
      <c r="AK45" s="124" t="b">
        <f>AK39+AK40 &gt;= $C$45</f>
        <v>0</v>
      </c>
      <c r="AL45" s="183" t="str">
        <f>IF(AK45, "Bestanden", "Nicht Bestanden")</f>
        <v>Nicht Bestanden</v>
      </c>
      <c r="AM45" s="184"/>
      <c r="AN45" s="124" t="b">
        <f>AN39+AN40 &gt;= $C$45</f>
        <v>0</v>
      </c>
      <c r="AO45" s="183" t="str">
        <f>IF(AN45, "Bestanden", "Nicht Bestanden")</f>
        <v>Nicht Bestanden</v>
      </c>
      <c r="AP45" s="184"/>
    </row>
    <row r="46" spans="1:42" s="126" customFormat="1" ht="17" x14ac:dyDescent="0.2">
      <c r="A46" s="8" t="s">
        <v>70</v>
      </c>
      <c r="B46" s="170" t="s">
        <v>93</v>
      </c>
      <c r="C46" s="76">
        <v>0</v>
      </c>
      <c r="D46" s="124" t="b">
        <f>AND(D43 &gt;= $C$43 *$C$46,D45)</f>
        <v>0</v>
      </c>
      <c r="E46" s="183" t="str">
        <f>IF(D46,"Bestanden","Durchgefallen")</f>
        <v>Durchgefallen</v>
      </c>
      <c r="F46" s="184"/>
      <c r="G46" s="124" t="b">
        <f>AND(G43 &gt;= $C$43 *$C$46,G45)</f>
        <v>0</v>
      </c>
      <c r="H46" s="183" t="str">
        <f>IF(G46,"Bestanden","Durchgefallen")</f>
        <v>Durchgefallen</v>
      </c>
      <c r="I46" s="184"/>
      <c r="J46" s="124" t="b">
        <f>AND(J43 &gt;= $C$43 *$C$46,J45)</f>
        <v>0</v>
      </c>
      <c r="K46" s="183" t="str">
        <f>IF(J46,"Bestanden","Durchgefallen")</f>
        <v>Durchgefallen</v>
      </c>
      <c r="L46" s="184"/>
      <c r="M46" s="124" t="b">
        <f>AND(M43 &gt;= $C$43 *$C$46,M45)</f>
        <v>0</v>
      </c>
      <c r="N46" s="183" t="str">
        <f>IF(M46,"Bestanden","Durchgefallen")</f>
        <v>Durchgefallen</v>
      </c>
      <c r="O46" s="184"/>
      <c r="P46" s="124" t="b">
        <f>AND(P43 &gt;= $C$43 *$C$46,P45)</f>
        <v>0</v>
      </c>
      <c r="Q46" s="183" t="str">
        <f>IF(P46,"Bestanden","Durchgefallen")</f>
        <v>Durchgefallen</v>
      </c>
      <c r="R46" s="184"/>
      <c r="S46" s="124" t="b">
        <f>AND(S43 &gt;= $C$43 *$C$46,S45)</f>
        <v>0</v>
      </c>
      <c r="T46" s="183" t="str">
        <f>IF(S46,"Bestanden","Durchgefallen")</f>
        <v>Durchgefallen</v>
      </c>
      <c r="U46" s="184"/>
      <c r="V46" s="124" t="b">
        <f>AND(V43 &gt;= $C$43 *$C$46,V45)</f>
        <v>0</v>
      </c>
      <c r="W46" s="183" t="str">
        <f>IF(V46,"Bestanden","Durchgefallen")</f>
        <v>Durchgefallen</v>
      </c>
      <c r="X46" s="184"/>
      <c r="Y46" s="124" t="b">
        <f>AND(Y43 &gt;= $C$43 *$C$46,Y45)</f>
        <v>0</v>
      </c>
      <c r="Z46" s="183" t="str">
        <f>IF(Y46,"Bestanden","Durchgefallen")</f>
        <v>Durchgefallen</v>
      </c>
      <c r="AA46" s="184"/>
      <c r="AB46" s="124" t="b">
        <f>AND(AB43 &gt;= $C$43 *$C$46,AB45)</f>
        <v>0</v>
      </c>
      <c r="AC46" s="183" t="str">
        <f>IF(AB46,"Bestanden","Durchgefallen")</f>
        <v>Durchgefallen</v>
      </c>
      <c r="AD46" s="184"/>
      <c r="AE46" s="124" t="b">
        <f>AND(AE43 &gt;= $C$43 *$C$46,AE45)</f>
        <v>0</v>
      </c>
      <c r="AF46" s="183" t="str">
        <f>IF(AE46,"Bestanden","Durchgefallen")</f>
        <v>Durchgefallen</v>
      </c>
      <c r="AG46" s="184"/>
      <c r="AH46" s="124" t="b">
        <f>AND(AH43 &gt;= $C$43 *$C$46,AH45)</f>
        <v>0</v>
      </c>
      <c r="AI46" s="183" t="str">
        <f>IF(AH46,"Bestanden","Durchgefallen")</f>
        <v>Durchgefallen</v>
      </c>
      <c r="AJ46" s="184"/>
      <c r="AK46" s="124" t="b">
        <f>AND(AK43 &gt;= $C$43 *$C$46,AK45)</f>
        <v>0</v>
      </c>
      <c r="AL46" s="183" t="str">
        <f>IF(AK46,"Bestanden","Durchgefallen")</f>
        <v>Durchgefallen</v>
      </c>
      <c r="AM46" s="184"/>
      <c r="AN46" s="124" t="b">
        <f>AND(AN43 &gt;= $C$43 *$C$46,AN45)</f>
        <v>0</v>
      </c>
      <c r="AO46" s="183" t="str">
        <f>IF(AN46,"Bestanden","Durchgefallen")</f>
        <v>Durchgefallen</v>
      </c>
      <c r="AP46" s="184"/>
    </row>
  </sheetData>
  <mergeCells count="377">
    <mergeCell ref="AI45:AJ45"/>
    <mergeCell ref="AL45:AM45"/>
    <mergeCell ref="AO45:AP45"/>
    <mergeCell ref="H45:I45"/>
    <mergeCell ref="K45:L45"/>
    <mergeCell ref="N45:O45"/>
    <mergeCell ref="Q45:R45"/>
    <mergeCell ref="T45:U45"/>
    <mergeCell ref="W45:X45"/>
    <mergeCell ref="Z45:AA45"/>
    <mergeCell ref="Z46:AA46"/>
    <mergeCell ref="AC45:AD45"/>
    <mergeCell ref="AO41:AP41"/>
    <mergeCell ref="AO42:AP42"/>
    <mergeCell ref="AO43:AP43"/>
    <mergeCell ref="AO44:AP44"/>
    <mergeCell ref="AO46:AP46"/>
    <mergeCell ref="AO34:AP34"/>
    <mergeCell ref="AO35:AP35"/>
    <mergeCell ref="AO36:AP36"/>
    <mergeCell ref="AO37:AP37"/>
    <mergeCell ref="AO39:AP39"/>
    <mergeCell ref="AO40:AP40"/>
    <mergeCell ref="AL41:AM41"/>
    <mergeCell ref="AL42:AM42"/>
    <mergeCell ref="AL43:AM43"/>
    <mergeCell ref="AL44:AM44"/>
    <mergeCell ref="AL46:AM46"/>
    <mergeCell ref="AL39:AM39"/>
    <mergeCell ref="AL40:AM40"/>
    <mergeCell ref="AI44:AJ44"/>
    <mergeCell ref="AI46:AJ46"/>
    <mergeCell ref="AF40:AG40"/>
    <mergeCell ref="AF44:AG44"/>
    <mergeCell ref="AO31:AP31"/>
    <mergeCell ref="AO32:AP32"/>
    <mergeCell ref="AO33:AP33"/>
    <mergeCell ref="AO16:AP16"/>
    <mergeCell ref="AO20:AP20"/>
    <mergeCell ref="AO21:AP21"/>
    <mergeCell ref="AO22:AP22"/>
    <mergeCell ref="AO23:AP23"/>
    <mergeCell ref="AO24:AP24"/>
    <mergeCell ref="AO2:AP2"/>
    <mergeCell ref="AO11:AP11"/>
    <mergeCell ref="AO13:AP13"/>
    <mergeCell ref="AO14:AP14"/>
    <mergeCell ref="AO15:AP15"/>
    <mergeCell ref="AL34:AM34"/>
    <mergeCell ref="AL35:AM35"/>
    <mergeCell ref="AL36:AM36"/>
    <mergeCell ref="AL37:AM37"/>
    <mergeCell ref="AL25:AM25"/>
    <mergeCell ref="AL26:AM26"/>
    <mergeCell ref="AL30:AM30"/>
    <mergeCell ref="AL31:AM31"/>
    <mergeCell ref="AL32:AM32"/>
    <mergeCell ref="AL33:AM33"/>
    <mergeCell ref="AL16:AM16"/>
    <mergeCell ref="AL20:AM20"/>
    <mergeCell ref="AL21:AM21"/>
    <mergeCell ref="AL22:AM22"/>
    <mergeCell ref="AL23:AM23"/>
    <mergeCell ref="AL24:AM24"/>
    <mergeCell ref="AO25:AP25"/>
    <mergeCell ref="AO26:AP26"/>
    <mergeCell ref="AO30:AP30"/>
    <mergeCell ref="AI2:AJ2"/>
    <mergeCell ref="AL2:AM2"/>
    <mergeCell ref="AL11:AM11"/>
    <mergeCell ref="AL13:AM13"/>
    <mergeCell ref="AL14:AM14"/>
    <mergeCell ref="AL15:AM15"/>
    <mergeCell ref="AI23:AJ23"/>
    <mergeCell ref="AI24:AJ24"/>
    <mergeCell ref="AI43:AJ43"/>
    <mergeCell ref="AI39:AJ39"/>
    <mergeCell ref="AI40:AJ40"/>
    <mergeCell ref="AI41:AJ41"/>
    <mergeCell ref="AI42:AJ42"/>
    <mergeCell ref="AI20:AJ20"/>
    <mergeCell ref="AF2:AG2"/>
    <mergeCell ref="N2:O2"/>
    <mergeCell ref="Q2:R2"/>
    <mergeCell ref="T2:U2"/>
    <mergeCell ref="W2:X2"/>
    <mergeCell ref="Z2:AA2"/>
    <mergeCell ref="AC2:AD2"/>
    <mergeCell ref="AI36:AJ36"/>
    <mergeCell ref="AI37:AJ37"/>
    <mergeCell ref="AI30:AJ30"/>
    <mergeCell ref="AI31:AJ31"/>
    <mergeCell ref="AI32:AJ32"/>
    <mergeCell ref="AI33:AJ33"/>
    <mergeCell ref="AI34:AJ34"/>
    <mergeCell ref="AI35:AJ35"/>
    <mergeCell ref="AI21:AJ21"/>
    <mergeCell ref="AI22:AJ22"/>
    <mergeCell ref="AI25:AJ25"/>
    <mergeCell ref="AI26:AJ26"/>
    <mergeCell ref="AI11:AJ11"/>
    <mergeCell ref="AI13:AJ13"/>
    <mergeCell ref="AI14:AJ14"/>
    <mergeCell ref="AI15:AJ15"/>
    <mergeCell ref="AI16:AJ16"/>
    <mergeCell ref="AF24:AG24"/>
    <mergeCell ref="AF25:AG25"/>
    <mergeCell ref="AF26:AG26"/>
    <mergeCell ref="AF30:AG30"/>
    <mergeCell ref="AF31:AG31"/>
    <mergeCell ref="AF32:AG32"/>
    <mergeCell ref="AF41:AG41"/>
    <mergeCell ref="AF42:AG42"/>
    <mergeCell ref="AF43:AG43"/>
    <mergeCell ref="AF46:AG46"/>
    <mergeCell ref="AF33:AG33"/>
    <mergeCell ref="AF34:AG34"/>
    <mergeCell ref="AF35:AG35"/>
    <mergeCell ref="AF36:AG36"/>
    <mergeCell ref="AF37:AG37"/>
    <mergeCell ref="AF39:AG39"/>
    <mergeCell ref="AF45:AG45"/>
    <mergeCell ref="AC46:AD46"/>
    <mergeCell ref="AC39:AD39"/>
    <mergeCell ref="AC40:AD40"/>
    <mergeCell ref="AC41:AD41"/>
    <mergeCell ref="AC42:AD42"/>
    <mergeCell ref="AC43:AD43"/>
    <mergeCell ref="AC44:AD44"/>
    <mergeCell ref="AC33:AD33"/>
    <mergeCell ref="AF11:AG11"/>
    <mergeCell ref="AF14:AG14"/>
    <mergeCell ref="AF13:AG13"/>
    <mergeCell ref="AF15:AG15"/>
    <mergeCell ref="AF16:AG16"/>
    <mergeCell ref="AF20:AG20"/>
    <mergeCell ref="AF21:AG21"/>
    <mergeCell ref="AF22:AG22"/>
    <mergeCell ref="AF23:AG23"/>
    <mergeCell ref="AC31:AD31"/>
    <mergeCell ref="AC34:AD34"/>
    <mergeCell ref="AC35:AD35"/>
    <mergeCell ref="AC36:AD36"/>
    <mergeCell ref="AC37:AD37"/>
    <mergeCell ref="AC23:AD23"/>
    <mergeCell ref="AC24:AD24"/>
    <mergeCell ref="AC25:AD25"/>
    <mergeCell ref="AC26:AD26"/>
    <mergeCell ref="AC30:AD30"/>
    <mergeCell ref="AC32:AD32"/>
    <mergeCell ref="Z43:AA43"/>
    <mergeCell ref="Z44:AA44"/>
    <mergeCell ref="AC11:AD11"/>
    <mergeCell ref="AC13:AD13"/>
    <mergeCell ref="AC14:AD14"/>
    <mergeCell ref="AC15:AD15"/>
    <mergeCell ref="AC16:AD16"/>
    <mergeCell ref="AC20:AD20"/>
    <mergeCell ref="AC21:AD21"/>
    <mergeCell ref="AC22:AD22"/>
    <mergeCell ref="Z36:AA36"/>
    <mergeCell ref="Z37:AA37"/>
    <mergeCell ref="Z39:AA39"/>
    <mergeCell ref="Z40:AA40"/>
    <mergeCell ref="Z41:AA41"/>
    <mergeCell ref="Z42:AA42"/>
    <mergeCell ref="Z30:AA30"/>
    <mergeCell ref="Z31:AA31"/>
    <mergeCell ref="Z32:AA32"/>
    <mergeCell ref="Z33:AA33"/>
    <mergeCell ref="Z34:AA34"/>
    <mergeCell ref="Z35:AA35"/>
    <mergeCell ref="Z21:AA21"/>
    <mergeCell ref="Z22:AA22"/>
    <mergeCell ref="Z23:AA23"/>
    <mergeCell ref="Z24:AA24"/>
    <mergeCell ref="Z25:AA25"/>
    <mergeCell ref="Z26:AA26"/>
    <mergeCell ref="Z11:AA11"/>
    <mergeCell ref="Z13:AA13"/>
    <mergeCell ref="Z14:AA14"/>
    <mergeCell ref="Z15:AA15"/>
    <mergeCell ref="Z16:AA16"/>
    <mergeCell ref="Z20:AA20"/>
    <mergeCell ref="W40:X40"/>
    <mergeCell ref="W41:X41"/>
    <mergeCell ref="W42:X42"/>
    <mergeCell ref="W43:X43"/>
    <mergeCell ref="W44:X44"/>
    <mergeCell ref="W46:X46"/>
    <mergeCell ref="W33:X33"/>
    <mergeCell ref="W34:X34"/>
    <mergeCell ref="W35:X35"/>
    <mergeCell ref="W36:X36"/>
    <mergeCell ref="W37:X37"/>
    <mergeCell ref="W39:X39"/>
    <mergeCell ref="W24:X24"/>
    <mergeCell ref="W25:X25"/>
    <mergeCell ref="W26:X26"/>
    <mergeCell ref="W30:X30"/>
    <mergeCell ref="W31:X31"/>
    <mergeCell ref="W32:X32"/>
    <mergeCell ref="T46:U46"/>
    <mergeCell ref="W11:X11"/>
    <mergeCell ref="W13:X13"/>
    <mergeCell ref="W14:X14"/>
    <mergeCell ref="W15:X15"/>
    <mergeCell ref="W16:X16"/>
    <mergeCell ref="W20:X20"/>
    <mergeCell ref="W21:X21"/>
    <mergeCell ref="W22:X22"/>
    <mergeCell ref="W23:X23"/>
    <mergeCell ref="T39:U39"/>
    <mergeCell ref="T40:U40"/>
    <mergeCell ref="T41:U41"/>
    <mergeCell ref="T42:U42"/>
    <mergeCell ref="T43:U43"/>
    <mergeCell ref="T44:U44"/>
    <mergeCell ref="T32:U32"/>
    <mergeCell ref="T33:U33"/>
    <mergeCell ref="T34:U34"/>
    <mergeCell ref="T35:U35"/>
    <mergeCell ref="T36:U36"/>
    <mergeCell ref="T37:U37"/>
    <mergeCell ref="T23:U23"/>
    <mergeCell ref="T24:U24"/>
    <mergeCell ref="T25:U25"/>
    <mergeCell ref="T26:U26"/>
    <mergeCell ref="T30:U30"/>
    <mergeCell ref="T31:U31"/>
    <mergeCell ref="Q44:R44"/>
    <mergeCell ref="Q46:R46"/>
    <mergeCell ref="T13:U13"/>
    <mergeCell ref="T14:U14"/>
    <mergeCell ref="T15:U15"/>
    <mergeCell ref="T11:U11"/>
    <mergeCell ref="T16:U16"/>
    <mergeCell ref="T20:U20"/>
    <mergeCell ref="T21:U21"/>
    <mergeCell ref="T22:U22"/>
    <mergeCell ref="Q37:R37"/>
    <mergeCell ref="Q39:R39"/>
    <mergeCell ref="Q40:R40"/>
    <mergeCell ref="Q41:R41"/>
    <mergeCell ref="Q42:R42"/>
    <mergeCell ref="Q43:R43"/>
    <mergeCell ref="Q31:R31"/>
    <mergeCell ref="Q32:R32"/>
    <mergeCell ref="Q33:R33"/>
    <mergeCell ref="Q34:R34"/>
    <mergeCell ref="Q35:R35"/>
    <mergeCell ref="Q36:R36"/>
    <mergeCell ref="Q22:R22"/>
    <mergeCell ref="Q23:R23"/>
    <mergeCell ref="Q24:R24"/>
    <mergeCell ref="Q25:R25"/>
    <mergeCell ref="Q26:R26"/>
    <mergeCell ref="Q30:R30"/>
    <mergeCell ref="N43:O43"/>
    <mergeCell ref="N44:O44"/>
    <mergeCell ref="N46:O46"/>
    <mergeCell ref="Q11:R11"/>
    <mergeCell ref="Q13:R13"/>
    <mergeCell ref="Q14:R14"/>
    <mergeCell ref="Q15:R15"/>
    <mergeCell ref="Q16:R16"/>
    <mergeCell ref="Q20:R20"/>
    <mergeCell ref="Q21:R21"/>
    <mergeCell ref="N36:O36"/>
    <mergeCell ref="N37:O37"/>
    <mergeCell ref="N39:O39"/>
    <mergeCell ref="N40:O40"/>
    <mergeCell ref="N41:O41"/>
    <mergeCell ref="N42:O42"/>
    <mergeCell ref="N30:O30"/>
    <mergeCell ref="N31:O31"/>
    <mergeCell ref="N32:O32"/>
    <mergeCell ref="N33:O33"/>
    <mergeCell ref="N34:O34"/>
    <mergeCell ref="N35:O35"/>
    <mergeCell ref="N21:O21"/>
    <mergeCell ref="N22:O22"/>
    <mergeCell ref="N23:O23"/>
    <mergeCell ref="N24:O24"/>
    <mergeCell ref="N25:O25"/>
    <mergeCell ref="N26:O26"/>
    <mergeCell ref="N11:O11"/>
    <mergeCell ref="N13:O13"/>
    <mergeCell ref="N14:O14"/>
    <mergeCell ref="N15:O15"/>
    <mergeCell ref="N16:O16"/>
    <mergeCell ref="N20:O20"/>
    <mergeCell ref="H43:I43"/>
    <mergeCell ref="H44:I44"/>
    <mergeCell ref="H46:I46"/>
    <mergeCell ref="K46:L46"/>
    <mergeCell ref="K44:L44"/>
    <mergeCell ref="K43:L43"/>
    <mergeCell ref="K2:L2"/>
    <mergeCell ref="K11:L11"/>
    <mergeCell ref="H39:I39"/>
    <mergeCell ref="H40:I40"/>
    <mergeCell ref="H41:I41"/>
    <mergeCell ref="H42:I42"/>
    <mergeCell ref="K42:L42"/>
    <mergeCell ref="K41:L41"/>
    <mergeCell ref="K40:L40"/>
    <mergeCell ref="K39:L39"/>
    <mergeCell ref="K32:L32"/>
    <mergeCell ref="K33:L33"/>
    <mergeCell ref="K34:L34"/>
    <mergeCell ref="K35:L35"/>
    <mergeCell ref="K36:L36"/>
    <mergeCell ref="K37:L37"/>
    <mergeCell ref="K23:L23"/>
    <mergeCell ref="K24:L24"/>
    <mergeCell ref="K25:L25"/>
    <mergeCell ref="K26:L26"/>
    <mergeCell ref="K30:L30"/>
    <mergeCell ref="K31:L31"/>
    <mergeCell ref="H37:I37"/>
    <mergeCell ref="H11:I11"/>
    <mergeCell ref="H2:I2"/>
    <mergeCell ref="K13:L13"/>
    <mergeCell ref="K14:L14"/>
    <mergeCell ref="K15:L15"/>
    <mergeCell ref="K16:L16"/>
    <mergeCell ref="K20:L20"/>
    <mergeCell ref="K21:L21"/>
    <mergeCell ref="K22:L22"/>
    <mergeCell ref="H31:I31"/>
    <mergeCell ref="H32:I32"/>
    <mergeCell ref="H33:I33"/>
    <mergeCell ref="H34:I34"/>
    <mergeCell ref="H35:I35"/>
    <mergeCell ref="H36:I36"/>
    <mergeCell ref="H22:I22"/>
    <mergeCell ref="H23:I23"/>
    <mergeCell ref="H24:I24"/>
    <mergeCell ref="H25:I25"/>
    <mergeCell ref="H26:I26"/>
    <mergeCell ref="H30:I30"/>
    <mergeCell ref="H13:I13"/>
    <mergeCell ref="H14:I14"/>
    <mergeCell ref="H15:I15"/>
    <mergeCell ref="H16:I16"/>
    <mergeCell ref="H20:I20"/>
    <mergeCell ref="H21:I21"/>
    <mergeCell ref="E24:F24"/>
    <mergeCell ref="E23:F23"/>
    <mergeCell ref="E22:F22"/>
    <mergeCell ref="E21:F21"/>
    <mergeCell ref="E20:F20"/>
    <mergeCell ref="E46:F46"/>
    <mergeCell ref="E44:F44"/>
    <mergeCell ref="E43:F43"/>
    <mergeCell ref="E42:F42"/>
    <mergeCell ref="E41:F41"/>
    <mergeCell ref="E2:F2"/>
    <mergeCell ref="E33:F33"/>
    <mergeCell ref="E32:F32"/>
    <mergeCell ref="E31:F31"/>
    <mergeCell ref="E30:F30"/>
    <mergeCell ref="E26:F26"/>
    <mergeCell ref="E25:F25"/>
    <mergeCell ref="E40:F40"/>
    <mergeCell ref="E39:F39"/>
    <mergeCell ref="E37:F37"/>
    <mergeCell ref="E36:F36"/>
    <mergeCell ref="E35:F35"/>
    <mergeCell ref="E34:F34"/>
    <mergeCell ref="E13:F13"/>
    <mergeCell ref="E14:F14"/>
    <mergeCell ref="E11:F11"/>
    <mergeCell ref="E15:F15"/>
    <mergeCell ref="E16:F16"/>
    <mergeCell ref="E45:F45"/>
  </mergeCells>
  <conditionalFormatting sqref="D46:E46">
    <cfRule type="cellIs" dxfId="433" priority="369" operator="equal">
      <formula>FALSE</formula>
    </cfRule>
    <cfRule type="cellIs" dxfId="432" priority="370" operator="equal">
      <formula>TRUE</formula>
    </cfRule>
    <cfRule type="beginsWith" dxfId="431" priority="371" operator="beginsWith" text="Durchgefallen">
      <formula>LEFT(D46,LEN("Durchgefallen"))="Durchgefallen"</formula>
    </cfRule>
    <cfRule type="beginsWith" dxfId="430" priority="372" operator="beginsWith" text="Bestanden">
      <formula>LEFT(D46,LEN("Bestanden"))="Bestanden"</formula>
    </cfRule>
  </conditionalFormatting>
  <conditionalFormatting sqref="F4:F9">
    <cfRule type="cellIs" dxfId="429" priority="360" stopIfTrue="1" operator="equal">
      <formula>" "</formula>
    </cfRule>
    <cfRule type="cellIs" dxfId="428" priority="367" operator="equal">
      <formula>FALSE</formula>
    </cfRule>
    <cfRule type="cellIs" dxfId="427" priority="368" operator="equal">
      <formula>TRUE</formula>
    </cfRule>
  </conditionalFormatting>
  <conditionalFormatting sqref="O4:O9">
    <cfRule type="cellIs" dxfId="426" priority="356" operator="equal">
      <formula>FALSE</formula>
    </cfRule>
    <cfRule type="cellIs" dxfId="425" priority="357" operator="equal">
      <formula>TRUE</formula>
    </cfRule>
  </conditionalFormatting>
  <conditionalFormatting sqref="R4:R9">
    <cfRule type="cellIs" dxfId="424" priority="354" operator="equal">
      <formula>FALSE</formula>
    </cfRule>
    <cfRule type="cellIs" dxfId="423" priority="355" operator="equal">
      <formula>TRUE</formula>
    </cfRule>
  </conditionalFormatting>
  <conditionalFormatting sqref="U4:U9">
    <cfRule type="cellIs" dxfId="422" priority="352" operator="equal">
      <formula>FALSE</formula>
    </cfRule>
    <cfRule type="cellIs" dxfId="421" priority="353" operator="equal">
      <formula>TRUE</formula>
    </cfRule>
  </conditionalFormatting>
  <conditionalFormatting sqref="X4:X9">
    <cfRule type="cellIs" dxfId="420" priority="350" operator="equal">
      <formula>FALSE</formula>
    </cfRule>
    <cfRule type="cellIs" dxfId="419" priority="351" operator="equal">
      <formula>TRUE</formula>
    </cfRule>
  </conditionalFormatting>
  <conditionalFormatting sqref="AA4:AA9">
    <cfRule type="cellIs" dxfId="418" priority="348" operator="equal">
      <formula>FALSE</formula>
    </cfRule>
    <cfRule type="cellIs" dxfId="417" priority="349" operator="equal">
      <formula>TRUE</formula>
    </cfRule>
  </conditionalFormatting>
  <conditionalFormatting sqref="AD4:AD9">
    <cfRule type="cellIs" dxfId="416" priority="346" operator="equal">
      <formula>FALSE</formula>
    </cfRule>
    <cfRule type="cellIs" dxfId="415" priority="347" operator="equal">
      <formula>TRUE</formula>
    </cfRule>
  </conditionalFormatting>
  <conditionalFormatting sqref="AG4:AG9">
    <cfRule type="cellIs" dxfId="414" priority="344" operator="equal">
      <formula>FALSE</formula>
    </cfRule>
    <cfRule type="cellIs" dxfId="413" priority="345" operator="equal">
      <formula>TRUE</formula>
    </cfRule>
  </conditionalFormatting>
  <conditionalFormatting sqref="AP4:AP9">
    <cfRule type="cellIs" dxfId="412" priority="308" operator="equal">
      <formula>FALSE</formula>
    </cfRule>
    <cfRule type="cellIs" dxfId="411" priority="309" operator="equal">
      <formula>TRUE</formula>
    </cfRule>
  </conditionalFormatting>
  <conditionalFormatting sqref="AJ4:AJ9">
    <cfRule type="cellIs" dxfId="410" priority="320" operator="equal">
      <formula>FALSE</formula>
    </cfRule>
    <cfRule type="cellIs" dxfId="409" priority="321" operator="equal">
      <formula>TRUE</formula>
    </cfRule>
  </conditionalFormatting>
  <conditionalFormatting sqref="AM4:AM9">
    <cfRule type="cellIs" dxfId="408" priority="314" operator="equal">
      <formula>FALSE</formula>
    </cfRule>
    <cfRule type="cellIs" dxfId="407" priority="315" operator="equal">
      <formula>TRUE</formula>
    </cfRule>
  </conditionalFormatting>
  <conditionalFormatting sqref="I4:I9">
    <cfRule type="cellIs" dxfId="406" priority="305" stopIfTrue="1" operator="equal">
      <formula>" "</formula>
    </cfRule>
    <cfRule type="cellIs" dxfId="405" priority="306" operator="equal">
      <formula>FALSE</formula>
    </cfRule>
    <cfRule type="cellIs" dxfId="404" priority="307" operator="equal">
      <formula>TRUE</formula>
    </cfRule>
  </conditionalFormatting>
  <conditionalFormatting sqref="L4:L9">
    <cfRule type="cellIs" dxfId="403" priority="302" stopIfTrue="1" operator="equal">
      <formula>" "</formula>
    </cfRule>
    <cfRule type="cellIs" dxfId="402" priority="303" operator="equal">
      <formula>FALSE</formula>
    </cfRule>
    <cfRule type="cellIs" dxfId="401" priority="304" operator="equal">
      <formula>TRUE</formula>
    </cfRule>
  </conditionalFormatting>
  <conditionalFormatting sqref="D45">
    <cfRule type="cellIs" dxfId="400" priority="298" operator="equal">
      <formula>FALSE</formula>
    </cfRule>
    <cfRule type="cellIs" dxfId="399" priority="299" operator="equal">
      <formula>TRUE</formula>
    </cfRule>
    <cfRule type="beginsWith" dxfId="398" priority="300" operator="beginsWith" text="Durchgefallen">
      <formula>LEFT(D45,LEN("Durchgefallen"))="Durchgefallen"</formula>
    </cfRule>
    <cfRule type="beginsWith" dxfId="397" priority="301" operator="beginsWith" text="Bestanden">
      <formula>LEFT(D45,LEN("Bestanden"))="Bestanden"</formula>
    </cfRule>
  </conditionalFormatting>
  <conditionalFormatting sqref="E45">
    <cfRule type="cellIs" dxfId="396" priority="286" operator="equal">
      <formula>FALSE</formula>
    </cfRule>
    <cfRule type="cellIs" dxfId="395" priority="287" operator="equal">
      <formula>TRUE</formula>
    </cfRule>
    <cfRule type="beginsWith" dxfId="394" priority="288" operator="beginsWith" text="Durchgefallen">
      <formula>LEFT(E45,LEN("Durchgefallen"))="Durchgefallen"</formula>
    </cfRule>
    <cfRule type="beginsWith" dxfId="393" priority="289" operator="beginsWith" text="Bestanden">
      <formula>LEFT(E45,LEN("Bestanden"))="Bestanden"</formula>
    </cfRule>
  </conditionalFormatting>
  <conditionalFormatting sqref="G46:H46">
    <cfRule type="cellIs" dxfId="392" priority="282" operator="equal">
      <formula>FALSE</formula>
    </cfRule>
    <cfRule type="cellIs" dxfId="391" priority="283" operator="equal">
      <formula>TRUE</formula>
    </cfRule>
    <cfRule type="beginsWith" dxfId="390" priority="284" operator="beginsWith" text="Durchgefallen">
      <formula>LEFT(G46,LEN("Durchgefallen"))="Durchgefallen"</formula>
    </cfRule>
    <cfRule type="beginsWith" dxfId="389" priority="285" operator="beginsWith" text="Bestanden">
      <formula>LEFT(G46,LEN("Bestanden"))="Bestanden"</formula>
    </cfRule>
  </conditionalFormatting>
  <conditionalFormatting sqref="H45">
    <cfRule type="cellIs" dxfId="388" priority="274" operator="equal">
      <formula>FALSE</formula>
    </cfRule>
    <cfRule type="cellIs" dxfId="387" priority="275" operator="equal">
      <formula>TRUE</formula>
    </cfRule>
    <cfRule type="beginsWith" dxfId="386" priority="276" operator="beginsWith" text="Durchgefallen">
      <formula>LEFT(H45,LEN("Durchgefallen"))="Durchgefallen"</formula>
    </cfRule>
    <cfRule type="beginsWith" dxfId="385" priority="277" operator="beginsWith" text="Bestanden">
      <formula>LEFT(H45,LEN("Bestanden"))="Bestanden"</formula>
    </cfRule>
  </conditionalFormatting>
  <conditionalFormatting sqref="J46:K46">
    <cfRule type="cellIs" dxfId="384" priority="270" operator="equal">
      <formula>FALSE</formula>
    </cfRule>
    <cfRule type="cellIs" dxfId="383" priority="271" operator="equal">
      <formula>TRUE</formula>
    </cfRule>
    <cfRule type="beginsWith" dxfId="382" priority="272" operator="beginsWith" text="Durchgefallen">
      <formula>LEFT(J46,LEN("Durchgefallen"))="Durchgefallen"</formula>
    </cfRule>
    <cfRule type="beginsWith" dxfId="381" priority="273" operator="beginsWith" text="Bestanden">
      <formula>LEFT(J46,LEN("Bestanden"))="Bestanden"</formula>
    </cfRule>
  </conditionalFormatting>
  <conditionalFormatting sqref="K45">
    <cfRule type="cellIs" dxfId="380" priority="262" operator="equal">
      <formula>FALSE</formula>
    </cfRule>
    <cfRule type="cellIs" dxfId="379" priority="263" operator="equal">
      <formula>TRUE</formula>
    </cfRule>
    <cfRule type="beginsWith" dxfId="378" priority="264" operator="beginsWith" text="Durchgefallen">
      <formula>LEFT(K45,LEN("Durchgefallen"))="Durchgefallen"</formula>
    </cfRule>
    <cfRule type="beginsWith" dxfId="377" priority="265" operator="beginsWith" text="Bestanden">
      <formula>LEFT(K45,LEN("Bestanden"))="Bestanden"</formula>
    </cfRule>
  </conditionalFormatting>
  <conditionalFormatting sqref="M46:N46">
    <cfRule type="cellIs" dxfId="376" priority="258" operator="equal">
      <formula>FALSE</formula>
    </cfRule>
    <cfRule type="cellIs" dxfId="375" priority="259" operator="equal">
      <formula>TRUE</formula>
    </cfRule>
    <cfRule type="beginsWith" dxfId="374" priority="260" operator="beginsWith" text="Durchgefallen">
      <formula>LEFT(M46,LEN("Durchgefallen"))="Durchgefallen"</formula>
    </cfRule>
    <cfRule type="beginsWith" dxfId="373" priority="261" operator="beginsWith" text="Bestanden">
      <formula>LEFT(M46,LEN("Bestanden"))="Bestanden"</formula>
    </cfRule>
  </conditionalFormatting>
  <conditionalFormatting sqref="N45">
    <cfRule type="cellIs" dxfId="372" priority="250" operator="equal">
      <formula>FALSE</formula>
    </cfRule>
    <cfRule type="cellIs" dxfId="371" priority="251" operator="equal">
      <formula>TRUE</formula>
    </cfRule>
    <cfRule type="beginsWith" dxfId="370" priority="252" operator="beginsWith" text="Durchgefallen">
      <formula>LEFT(N45,LEN("Durchgefallen"))="Durchgefallen"</formula>
    </cfRule>
    <cfRule type="beginsWith" dxfId="369" priority="253" operator="beginsWith" text="Bestanden">
      <formula>LEFT(N45,LEN("Bestanden"))="Bestanden"</formula>
    </cfRule>
  </conditionalFormatting>
  <conditionalFormatting sqref="P46:Q46">
    <cfRule type="cellIs" dxfId="368" priority="246" operator="equal">
      <formula>FALSE</formula>
    </cfRule>
    <cfRule type="cellIs" dxfId="367" priority="247" operator="equal">
      <formula>TRUE</formula>
    </cfRule>
    <cfRule type="beginsWith" dxfId="366" priority="248" operator="beginsWith" text="Durchgefallen">
      <formula>LEFT(P46,LEN("Durchgefallen"))="Durchgefallen"</formula>
    </cfRule>
    <cfRule type="beginsWith" dxfId="365" priority="249" operator="beginsWith" text="Bestanden">
      <formula>LEFT(P46,LEN("Bestanden"))="Bestanden"</formula>
    </cfRule>
  </conditionalFormatting>
  <conditionalFormatting sqref="Q45">
    <cfRule type="cellIs" dxfId="364" priority="238" operator="equal">
      <formula>FALSE</formula>
    </cfRule>
    <cfRule type="cellIs" dxfId="363" priority="239" operator="equal">
      <formula>TRUE</formula>
    </cfRule>
    <cfRule type="beginsWith" dxfId="362" priority="240" operator="beginsWith" text="Durchgefallen">
      <formula>LEFT(Q45,LEN("Durchgefallen"))="Durchgefallen"</formula>
    </cfRule>
    <cfRule type="beginsWith" dxfId="361" priority="241" operator="beginsWith" text="Bestanden">
      <formula>LEFT(Q45,LEN("Bestanden"))="Bestanden"</formula>
    </cfRule>
  </conditionalFormatting>
  <conditionalFormatting sqref="S46:T46">
    <cfRule type="cellIs" dxfId="360" priority="234" operator="equal">
      <formula>FALSE</formula>
    </cfRule>
    <cfRule type="cellIs" dxfId="359" priority="235" operator="equal">
      <formula>TRUE</formula>
    </cfRule>
    <cfRule type="beginsWith" dxfId="358" priority="236" operator="beginsWith" text="Durchgefallen">
      <formula>LEFT(S46,LEN("Durchgefallen"))="Durchgefallen"</formula>
    </cfRule>
    <cfRule type="beginsWith" dxfId="357" priority="237" operator="beginsWith" text="Bestanden">
      <formula>LEFT(S46,LEN("Bestanden"))="Bestanden"</formula>
    </cfRule>
  </conditionalFormatting>
  <conditionalFormatting sqref="T45">
    <cfRule type="cellIs" dxfId="356" priority="226" operator="equal">
      <formula>FALSE</formula>
    </cfRule>
    <cfRule type="cellIs" dxfId="355" priority="227" operator="equal">
      <formula>TRUE</formula>
    </cfRule>
    <cfRule type="beginsWith" dxfId="354" priority="228" operator="beginsWith" text="Durchgefallen">
      <formula>LEFT(T45,LEN("Durchgefallen"))="Durchgefallen"</formula>
    </cfRule>
    <cfRule type="beginsWith" dxfId="353" priority="229" operator="beginsWith" text="Bestanden">
      <formula>LEFT(T45,LEN("Bestanden"))="Bestanden"</formula>
    </cfRule>
  </conditionalFormatting>
  <conditionalFormatting sqref="V46:W46">
    <cfRule type="cellIs" dxfId="352" priority="222" operator="equal">
      <formula>FALSE</formula>
    </cfRule>
    <cfRule type="cellIs" dxfId="351" priority="223" operator="equal">
      <formula>TRUE</formula>
    </cfRule>
    <cfRule type="beginsWith" dxfId="350" priority="224" operator="beginsWith" text="Durchgefallen">
      <formula>LEFT(V46,LEN("Durchgefallen"))="Durchgefallen"</formula>
    </cfRule>
    <cfRule type="beginsWith" dxfId="349" priority="225" operator="beginsWith" text="Bestanden">
      <formula>LEFT(V46,LEN("Bestanden"))="Bestanden"</formula>
    </cfRule>
  </conditionalFormatting>
  <conditionalFormatting sqref="W45">
    <cfRule type="cellIs" dxfId="348" priority="214" operator="equal">
      <formula>FALSE</formula>
    </cfRule>
    <cfRule type="cellIs" dxfId="347" priority="215" operator="equal">
      <formula>TRUE</formula>
    </cfRule>
    <cfRule type="beginsWith" dxfId="346" priority="216" operator="beginsWith" text="Durchgefallen">
      <formula>LEFT(W45,LEN("Durchgefallen"))="Durchgefallen"</formula>
    </cfRule>
    <cfRule type="beginsWith" dxfId="345" priority="217" operator="beginsWith" text="Bestanden">
      <formula>LEFT(W45,LEN("Bestanden"))="Bestanden"</formula>
    </cfRule>
  </conditionalFormatting>
  <conditionalFormatting sqref="Y46:Z46">
    <cfRule type="cellIs" dxfId="344" priority="210" operator="equal">
      <formula>FALSE</formula>
    </cfRule>
    <cfRule type="cellIs" dxfId="343" priority="211" operator="equal">
      <formula>TRUE</formula>
    </cfRule>
    <cfRule type="beginsWith" dxfId="342" priority="212" operator="beginsWith" text="Durchgefallen">
      <formula>LEFT(Y46,LEN("Durchgefallen"))="Durchgefallen"</formula>
    </cfRule>
    <cfRule type="beginsWith" dxfId="341" priority="213" operator="beginsWith" text="Bestanden">
      <formula>LEFT(Y46,LEN("Bestanden"))="Bestanden"</formula>
    </cfRule>
  </conditionalFormatting>
  <conditionalFormatting sqref="Z45">
    <cfRule type="cellIs" dxfId="340" priority="202" operator="equal">
      <formula>FALSE</formula>
    </cfRule>
    <cfRule type="cellIs" dxfId="339" priority="203" operator="equal">
      <formula>TRUE</formula>
    </cfRule>
    <cfRule type="beginsWith" dxfId="338" priority="204" operator="beginsWith" text="Durchgefallen">
      <formula>LEFT(Z45,LEN("Durchgefallen"))="Durchgefallen"</formula>
    </cfRule>
    <cfRule type="beginsWith" dxfId="337" priority="205" operator="beginsWith" text="Bestanden">
      <formula>LEFT(Z45,LEN("Bestanden"))="Bestanden"</formula>
    </cfRule>
  </conditionalFormatting>
  <conditionalFormatting sqref="AB46:AC46">
    <cfRule type="cellIs" dxfId="336" priority="198" operator="equal">
      <formula>FALSE</formula>
    </cfRule>
    <cfRule type="cellIs" dxfId="335" priority="199" operator="equal">
      <formula>TRUE</formula>
    </cfRule>
    <cfRule type="beginsWith" dxfId="334" priority="200" operator="beginsWith" text="Durchgefallen">
      <formula>LEFT(AB46,LEN("Durchgefallen"))="Durchgefallen"</formula>
    </cfRule>
    <cfRule type="beginsWith" dxfId="333" priority="201" operator="beginsWith" text="Bestanden">
      <formula>LEFT(AB46,LEN("Bestanden"))="Bestanden"</formula>
    </cfRule>
  </conditionalFormatting>
  <conditionalFormatting sqref="AC45">
    <cfRule type="cellIs" dxfId="332" priority="190" operator="equal">
      <formula>FALSE</formula>
    </cfRule>
    <cfRule type="cellIs" dxfId="331" priority="191" operator="equal">
      <formula>TRUE</formula>
    </cfRule>
    <cfRule type="beginsWith" dxfId="330" priority="192" operator="beginsWith" text="Durchgefallen">
      <formula>LEFT(AC45,LEN("Durchgefallen"))="Durchgefallen"</formula>
    </cfRule>
    <cfRule type="beginsWith" dxfId="329" priority="193" operator="beginsWith" text="Bestanden">
      <formula>LEFT(AC45,LEN("Bestanden"))="Bestanden"</formula>
    </cfRule>
  </conditionalFormatting>
  <conditionalFormatting sqref="AE46:AF46">
    <cfRule type="cellIs" dxfId="328" priority="186" operator="equal">
      <formula>FALSE</formula>
    </cfRule>
    <cfRule type="cellIs" dxfId="327" priority="187" operator="equal">
      <formula>TRUE</formula>
    </cfRule>
    <cfRule type="beginsWith" dxfId="326" priority="188" operator="beginsWith" text="Durchgefallen">
      <formula>LEFT(AE46,LEN("Durchgefallen"))="Durchgefallen"</formula>
    </cfRule>
    <cfRule type="beginsWith" dxfId="325" priority="189" operator="beginsWith" text="Bestanden">
      <formula>LEFT(AE46,LEN("Bestanden"))="Bestanden"</formula>
    </cfRule>
  </conditionalFormatting>
  <conditionalFormatting sqref="AF45">
    <cfRule type="cellIs" dxfId="324" priority="178" operator="equal">
      <formula>FALSE</formula>
    </cfRule>
    <cfRule type="cellIs" dxfId="323" priority="179" operator="equal">
      <formula>TRUE</formula>
    </cfRule>
    <cfRule type="beginsWith" dxfId="322" priority="180" operator="beginsWith" text="Durchgefallen">
      <formula>LEFT(AF45,LEN("Durchgefallen"))="Durchgefallen"</formula>
    </cfRule>
    <cfRule type="beginsWith" dxfId="321" priority="181" operator="beginsWith" text="Bestanden">
      <formula>LEFT(AF45,LEN("Bestanden"))="Bestanden"</formula>
    </cfRule>
  </conditionalFormatting>
  <conditionalFormatting sqref="AH46:AI46">
    <cfRule type="cellIs" dxfId="320" priority="174" operator="equal">
      <formula>FALSE</formula>
    </cfRule>
    <cfRule type="cellIs" dxfId="319" priority="175" operator="equal">
      <formula>TRUE</formula>
    </cfRule>
    <cfRule type="beginsWith" dxfId="318" priority="176" operator="beginsWith" text="Durchgefallen">
      <formula>LEFT(AH46,LEN("Durchgefallen"))="Durchgefallen"</formula>
    </cfRule>
    <cfRule type="beginsWith" dxfId="317" priority="177" operator="beginsWith" text="Bestanden">
      <formula>LEFT(AH46,LEN("Bestanden"))="Bestanden"</formula>
    </cfRule>
  </conditionalFormatting>
  <conditionalFormatting sqref="AI45">
    <cfRule type="cellIs" dxfId="316" priority="166" operator="equal">
      <formula>FALSE</formula>
    </cfRule>
    <cfRule type="cellIs" dxfId="315" priority="167" operator="equal">
      <formula>TRUE</formula>
    </cfRule>
    <cfRule type="beginsWith" dxfId="314" priority="168" operator="beginsWith" text="Durchgefallen">
      <formula>LEFT(AI45,LEN("Durchgefallen"))="Durchgefallen"</formula>
    </cfRule>
    <cfRule type="beginsWith" dxfId="313" priority="169" operator="beginsWith" text="Bestanden">
      <formula>LEFT(AI45,LEN("Bestanden"))="Bestanden"</formula>
    </cfRule>
  </conditionalFormatting>
  <conditionalFormatting sqref="AK46:AL46">
    <cfRule type="cellIs" dxfId="312" priority="162" operator="equal">
      <formula>FALSE</formula>
    </cfRule>
    <cfRule type="cellIs" dxfId="311" priority="163" operator="equal">
      <formula>TRUE</formula>
    </cfRule>
    <cfRule type="beginsWith" dxfId="310" priority="164" operator="beginsWith" text="Durchgefallen">
      <formula>LEFT(AK46,LEN("Durchgefallen"))="Durchgefallen"</formula>
    </cfRule>
    <cfRule type="beginsWith" dxfId="309" priority="165" operator="beginsWith" text="Bestanden">
      <formula>LEFT(AK46,LEN("Bestanden"))="Bestanden"</formula>
    </cfRule>
  </conditionalFormatting>
  <conditionalFormatting sqref="AL45">
    <cfRule type="cellIs" dxfId="308" priority="154" operator="equal">
      <formula>FALSE</formula>
    </cfRule>
    <cfRule type="cellIs" dxfId="307" priority="155" operator="equal">
      <formula>TRUE</formula>
    </cfRule>
    <cfRule type="beginsWith" dxfId="306" priority="156" operator="beginsWith" text="Durchgefallen">
      <formula>LEFT(AL45,LEN("Durchgefallen"))="Durchgefallen"</formula>
    </cfRule>
    <cfRule type="beginsWith" dxfId="305" priority="157" operator="beginsWith" text="Bestanden">
      <formula>LEFT(AL45,LEN("Bestanden"))="Bestanden"</formula>
    </cfRule>
  </conditionalFormatting>
  <conditionalFormatting sqref="AN46:AO46">
    <cfRule type="cellIs" dxfId="304" priority="150" operator="equal">
      <formula>FALSE</formula>
    </cfRule>
    <cfRule type="cellIs" dxfId="303" priority="151" operator="equal">
      <formula>TRUE</formula>
    </cfRule>
    <cfRule type="beginsWith" dxfId="302" priority="152" operator="beginsWith" text="Durchgefallen">
      <formula>LEFT(AN46,LEN("Durchgefallen"))="Durchgefallen"</formula>
    </cfRule>
    <cfRule type="beginsWith" dxfId="301" priority="153" operator="beginsWith" text="Bestanden">
      <formula>LEFT(AN46,LEN("Bestanden"))="Bestanden"</formula>
    </cfRule>
  </conditionalFormatting>
  <conditionalFormatting sqref="AO45">
    <cfRule type="cellIs" dxfId="300" priority="142" operator="equal">
      <formula>FALSE</formula>
    </cfRule>
    <cfRule type="cellIs" dxfId="299" priority="143" operator="equal">
      <formula>TRUE</formula>
    </cfRule>
    <cfRule type="beginsWith" dxfId="298" priority="144" operator="beginsWith" text="Durchgefallen">
      <formula>LEFT(AO45,LEN("Durchgefallen"))="Durchgefallen"</formula>
    </cfRule>
    <cfRule type="beginsWith" dxfId="297" priority="145" operator="beginsWith" text="Bestanden">
      <formula>LEFT(AO45,LEN("Bestanden"))="Bestanden"</formula>
    </cfRule>
  </conditionalFormatting>
  <conditionalFormatting sqref="E45:F45 H45:I45 K45:L45 N45:O45 Q45:R45 T45:U45 W45:X45 Z45:AA45 AC45:AD45 AF45:AG45 AI45:AJ45 AL45:AM45 AO45:AP45">
    <cfRule type="beginsWith" dxfId="296" priority="141" operator="beginsWith" text="Nicht Bestanden">
      <formula>LEFT(E45,LEN("Nicht Bestanden"))="Nicht Bestanden"</formula>
    </cfRule>
  </conditionalFormatting>
  <conditionalFormatting sqref="H45">
    <cfRule type="cellIs" dxfId="295" priority="137" operator="equal">
      <formula>FALSE</formula>
    </cfRule>
    <cfRule type="cellIs" dxfId="294" priority="138" operator="equal">
      <formula>TRUE</formula>
    </cfRule>
    <cfRule type="beginsWith" dxfId="293" priority="139" operator="beginsWith" text="Durchgefallen">
      <formula>LEFT(H45,LEN("Durchgefallen"))="Durchgefallen"</formula>
    </cfRule>
    <cfRule type="beginsWith" dxfId="292" priority="140" operator="beginsWith" text="Bestanden">
      <formula>LEFT(H45,LEN("Bestanden"))="Bestanden"</formula>
    </cfRule>
  </conditionalFormatting>
  <conditionalFormatting sqref="K45">
    <cfRule type="cellIs" dxfId="291" priority="133" operator="equal">
      <formula>FALSE</formula>
    </cfRule>
    <cfRule type="cellIs" dxfId="290" priority="134" operator="equal">
      <formula>TRUE</formula>
    </cfRule>
    <cfRule type="beginsWith" dxfId="289" priority="135" operator="beginsWith" text="Durchgefallen">
      <formula>LEFT(K45,LEN("Durchgefallen"))="Durchgefallen"</formula>
    </cfRule>
    <cfRule type="beginsWith" dxfId="288" priority="136" operator="beginsWith" text="Bestanden">
      <formula>LEFT(K45,LEN("Bestanden"))="Bestanden"</formula>
    </cfRule>
  </conditionalFormatting>
  <conditionalFormatting sqref="K45">
    <cfRule type="cellIs" dxfId="287" priority="129" operator="equal">
      <formula>FALSE</formula>
    </cfRule>
    <cfRule type="cellIs" dxfId="286" priority="130" operator="equal">
      <formula>TRUE</formula>
    </cfRule>
    <cfRule type="beginsWith" dxfId="285" priority="131" operator="beginsWith" text="Durchgefallen">
      <formula>LEFT(K45,LEN("Durchgefallen"))="Durchgefallen"</formula>
    </cfRule>
    <cfRule type="beginsWith" dxfId="284" priority="132" operator="beginsWith" text="Bestanden">
      <formula>LEFT(K45,LEN("Bestanden"))="Bestanden"</formula>
    </cfRule>
  </conditionalFormatting>
  <conditionalFormatting sqref="N45">
    <cfRule type="cellIs" dxfId="283" priority="125" operator="equal">
      <formula>FALSE</formula>
    </cfRule>
    <cfRule type="cellIs" dxfId="282" priority="126" operator="equal">
      <formula>TRUE</formula>
    </cfRule>
    <cfRule type="beginsWith" dxfId="281" priority="127" operator="beginsWith" text="Durchgefallen">
      <formula>LEFT(N45,LEN("Durchgefallen"))="Durchgefallen"</formula>
    </cfRule>
    <cfRule type="beginsWith" dxfId="280" priority="128" operator="beginsWith" text="Bestanden">
      <formula>LEFT(N45,LEN("Bestanden"))="Bestanden"</formula>
    </cfRule>
  </conditionalFormatting>
  <conditionalFormatting sqref="N45">
    <cfRule type="cellIs" dxfId="279" priority="121" operator="equal">
      <formula>FALSE</formula>
    </cfRule>
    <cfRule type="cellIs" dxfId="278" priority="122" operator="equal">
      <formula>TRUE</formula>
    </cfRule>
    <cfRule type="beginsWith" dxfId="277" priority="123" operator="beginsWith" text="Durchgefallen">
      <formula>LEFT(N45,LEN("Durchgefallen"))="Durchgefallen"</formula>
    </cfRule>
    <cfRule type="beginsWith" dxfId="276" priority="124" operator="beginsWith" text="Bestanden">
      <formula>LEFT(N45,LEN("Bestanden"))="Bestanden"</formula>
    </cfRule>
  </conditionalFormatting>
  <conditionalFormatting sqref="Q45">
    <cfRule type="cellIs" dxfId="275" priority="117" operator="equal">
      <formula>FALSE</formula>
    </cfRule>
    <cfRule type="cellIs" dxfId="274" priority="118" operator="equal">
      <formula>TRUE</formula>
    </cfRule>
    <cfRule type="beginsWith" dxfId="273" priority="119" operator="beginsWith" text="Durchgefallen">
      <formula>LEFT(Q45,LEN("Durchgefallen"))="Durchgefallen"</formula>
    </cfRule>
    <cfRule type="beginsWith" dxfId="272" priority="120" operator="beginsWith" text="Bestanden">
      <formula>LEFT(Q45,LEN("Bestanden"))="Bestanden"</formula>
    </cfRule>
  </conditionalFormatting>
  <conditionalFormatting sqref="Q45">
    <cfRule type="cellIs" dxfId="271" priority="113" operator="equal">
      <formula>FALSE</formula>
    </cfRule>
    <cfRule type="cellIs" dxfId="270" priority="114" operator="equal">
      <formula>TRUE</formula>
    </cfRule>
    <cfRule type="beginsWith" dxfId="269" priority="115" operator="beginsWith" text="Durchgefallen">
      <formula>LEFT(Q45,LEN("Durchgefallen"))="Durchgefallen"</formula>
    </cfRule>
    <cfRule type="beginsWith" dxfId="268" priority="116" operator="beginsWith" text="Bestanden">
      <formula>LEFT(Q45,LEN("Bestanden"))="Bestanden"</formula>
    </cfRule>
  </conditionalFormatting>
  <conditionalFormatting sqref="T45">
    <cfRule type="cellIs" dxfId="267" priority="109" operator="equal">
      <formula>FALSE</formula>
    </cfRule>
    <cfRule type="cellIs" dxfId="266" priority="110" operator="equal">
      <formula>TRUE</formula>
    </cfRule>
    <cfRule type="beginsWith" dxfId="265" priority="111" operator="beginsWith" text="Durchgefallen">
      <formula>LEFT(T45,LEN("Durchgefallen"))="Durchgefallen"</formula>
    </cfRule>
    <cfRule type="beginsWith" dxfId="264" priority="112" operator="beginsWith" text="Bestanden">
      <formula>LEFT(T45,LEN("Bestanden"))="Bestanden"</formula>
    </cfRule>
  </conditionalFormatting>
  <conditionalFormatting sqref="T45">
    <cfRule type="cellIs" dxfId="263" priority="105" operator="equal">
      <formula>FALSE</formula>
    </cfRule>
    <cfRule type="cellIs" dxfId="262" priority="106" operator="equal">
      <formula>TRUE</formula>
    </cfRule>
    <cfRule type="beginsWith" dxfId="261" priority="107" operator="beginsWith" text="Durchgefallen">
      <formula>LEFT(T45,LEN("Durchgefallen"))="Durchgefallen"</formula>
    </cfRule>
    <cfRule type="beginsWith" dxfId="260" priority="108" operator="beginsWith" text="Bestanden">
      <formula>LEFT(T45,LEN("Bestanden"))="Bestanden"</formula>
    </cfRule>
  </conditionalFormatting>
  <conditionalFormatting sqref="W45">
    <cfRule type="cellIs" dxfId="259" priority="101" operator="equal">
      <formula>FALSE</formula>
    </cfRule>
    <cfRule type="cellIs" dxfId="258" priority="102" operator="equal">
      <formula>TRUE</formula>
    </cfRule>
    <cfRule type="beginsWith" dxfId="257" priority="103" operator="beginsWith" text="Durchgefallen">
      <formula>LEFT(W45,LEN("Durchgefallen"))="Durchgefallen"</formula>
    </cfRule>
    <cfRule type="beginsWith" dxfId="256" priority="104" operator="beginsWith" text="Bestanden">
      <formula>LEFT(W45,LEN("Bestanden"))="Bestanden"</formula>
    </cfRule>
  </conditionalFormatting>
  <conditionalFormatting sqref="W45">
    <cfRule type="cellIs" dxfId="255" priority="97" operator="equal">
      <formula>FALSE</formula>
    </cfRule>
    <cfRule type="cellIs" dxfId="254" priority="98" operator="equal">
      <formula>TRUE</formula>
    </cfRule>
    <cfRule type="beginsWith" dxfId="253" priority="99" operator="beginsWith" text="Durchgefallen">
      <formula>LEFT(W45,LEN("Durchgefallen"))="Durchgefallen"</formula>
    </cfRule>
    <cfRule type="beginsWith" dxfId="252" priority="100" operator="beginsWith" text="Bestanden">
      <formula>LEFT(W45,LEN("Bestanden"))="Bestanden"</formula>
    </cfRule>
  </conditionalFormatting>
  <conditionalFormatting sqref="Z45">
    <cfRule type="cellIs" dxfId="251" priority="93" operator="equal">
      <formula>FALSE</formula>
    </cfRule>
    <cfRule type="cellIs" dxfId="250" priority="94" operator="equal">
      <formula>TRUE</formula>
    </cfRule>
    <cfRule type="beginsWith" dxfId="249" priority="95" operator="beginsWith" text="Durchgefallen">
      <formula>LEFT(Z45,LEN("Durchgefallen"))="Durchgefallen"</formula>
    </cfRule>
    <cfRule type="beginsWith" dxfId="248" priority="96" operator="beginsWith" text="Bestanden">
      <formula>LEFT(Z45,LEN("Bestanden"))="Bestanden"</formula>
    </cfRule>
  </conditionalFormatting>
  <conditionalFormatting sqref="Z45">
    <cfRule type="cellIs" dxfId="247" priority="89" operator="equal">
      <formula>FALSE</formula>
    </cfRule>
    <cfRule type="cellIs" dxfId="246" priority="90" operator="equal">
      <formula>TRUE</formula>
    </cfRule>
    <cfRule type="beginsWith" dxfId="245" priority="91" operator="beginsWith" text="Durchgefallen">
      <formula>LEFT(Z45,LEN("Durchgefallen"))="Durchgefallen"</formula>
    </cfRule>
    <cfRule type="beginsWith" dxfId="244" priority="92" operator="beginsWith" text="Bestanden">
      <formula>LEFT(Z45,LEN("Bestanden"))="Bestanden"</formula>
    </cfRule>
  </conditionalFormatting>
  <conditionalFormatting sqref="AC45">
    <cfRule type="cellIs" dxfId="243" priority="85" operator="equal">
      <formula>FALSE</formula>
    </cfRule>
    <cfRule type="cellIs" dxfId="242" priority="86" operator="equal">
      <formula>TRUE</formula>
    </cfRule>
    <cfRule type="beginsWith" dxfId="241" priority="87" operator="beginsWith" text="Durchgefallen">
      <formula>LEFT(AC45,LEN("Durchgefallen"))="Durchgefallen"</formula>
    </cfRule>
    <cfRule type="beginsWith" dxfId="240" priority="88" operator="beginsWith" text="Bestanden">
      <formula>LEFT(AC45,LEN("Bestanden"))="Bestanden"</formula>
    </cfRule>
  </conditionalFormatting>
  <conditionalFormatting sqref="AC45">
    <cfRule type="cellIs" dxfId="239" priority="81" operator="equal">
      <formula>FALSE</formula>
    </cfRule>
    <cfRule type="cellIs" dxfId="238" priority="82" operator="equal">
      <formula>TRUE</formula>
    </cfRule>
    <cfRule type="beginsWith" dxfId="237" priority="83" operator="beginsWith" text="Durchgefallen">
      <formula>LEFT(AC45,LEN("Durchgefallen"))="Durchgefallen"</formula>
    </cfRule>
    <cfRule type="beginsWith" dxfId="236" priority="84" operator="beginsWith" text="Bestanden">
      <formula>LEFT(AC45,LEN("Bestanden"))="Bestanden"</formula>
    </cfRule>
  </conditionalFormatting>
  <conditionalFormatting sqref="AF45">
    <cfRule type="cellIs" dxfId="235" priority="77" operator="equal">
      <formula>FALSE</formula>
    </cfRule>
    <cfRule type="cellIs" dxfId="234" priority="78" operator="equal">
      <formula>TRUE</formula>
    </cfRule>
    <cfRule type="beginsWith" dxfId="233" priority="79" operator="beginsWith" text="Durchgefallen">
      <formula>LEFT(AF45,LEN("Durchgefallen"))="Durchgefallen"</formula>
    </cfRule>
    <cfRule type="beginsWith" dxfId="232" priority="80" operator="beginsWith" text="Bestanden">
      <formula>LEFT(AF45,LEN("Bestanden"))="Bestanden"</formula>
    </cfRule>
  </conditionalFormatting>
  <conditionalFormatting sqref="AF45">
    <cfRule type="cellIs" dxfId="231" priority="73" operator="equal">
      <formula>FALSE</formula>
    </cfRule>
    <cfRule type="cellIs" dxfId="230" priority="74" operator="equal">
      <formula>TRUE</formula>
    </cfRule>
    <cfRule type="beginsWith" dxfId="229" priority="75" operator="beginsWith" text="Durchgefallen">
      <formula>LEFT(AF45,LEN("Durchgefallen"))="Durchgefallen"</formula>
    </cfRule>
    <cfRule type="beginsWith" dxfId="228" priority="76" operator="beginsWith" text="Bestanden">
      <formula>LEFT(AF45,LEN("Bestanden"))="Bestanden"</formula>
    </cfRule>
  </conditionalFormatting>
  <conditionalFormatting sqref="AI45">
    <cfRule type="cellIs" dxfId="227" priority="69" operator="equal">
      <formula>FALSE</formula>
    </cfRule>
    <cfRule type="cellIs" dxfId="226" priority="70" operator="equal">
      <formula>TRUE</formula>
    </cfRule>
    <cfRule type="beginsWith" dxfId="225" priority="71" operator="beginsWith" text="Durchgefallen">
      <formula>LEFT(AI45,LEN("Durchgefallen"))="Durchgefallen"</formula>
    </cfRule>
    <cfRule type="beginsWith" dxfId="224" priority="72" operator="beginsWith" text="Bestanden">
      <formula>LEFT(AI45,LEN("Bestanden"))="Bestanden"</formula>
    </cfRule>
  </conditionalFormatting>
  <conditionalFormatting sqref="AI45">
    <cfRule type="cellIs" dxfId="223" priority="65" operator="equal">
      <formula>FALSE</formula>
    </cfRule>
    <cfRule type="cellIs" dxfId="222" priority="66" operator="equal">
      <formula>TRUE</formula>
    </cfRule>
    <cfRule type="beginsWith" dxfId="221" priority="67" operator="beginsWith" text="Durchgefallen">
      <formula>LEFT(AI45,LEN("Durchgefallen"))="Durchgefallen"</formula>
    </cfRule>
    <cfRule type="beginsWith" dxfId="220" priority="68" operator="beginsWith" text="Bestanden">
      <formula>LEFT(AI45,LEN("Bestanden"))="Bestanden"</formula>
    </cfRule>
  </conditionalFormatting>
  <conditionalFormatting sqref="AL45">
    <cfRule type="cellIs" dxfId="219" priority="61" operator="equal">
      <formula>FALSE</formula>
    </cfRule>
    <cfRule type="cellIs" dxfId="218" priority="62" operator="equal">
      <formula>TRUE</formula>
    </cfRule>
    <cfRule type="beginsWith" dxfId="217" priority="63" operator="beginsWith" text="Durchgefallen">
      <formula>LEFT(AL45,LEN("Durchgefallen"))="Durchgefallen"</formula>
    </cfRule>
    <cfRule type="beginsWith" dxfId="216" priority="64" operator="beginsWith" text="Bestanden">
      <formula>LEFT(AL45,LEN("Bestanden"))="Bestanden"</formula>
    </cfRule>
  </conditionalFormatting>
  <conditionalFormatting sqref="AL45">
    <cfRule type="cellIs" dxfId="215" priority="57" operator="equal">
      <formula>FALSE</formula>
    </cfRule>
    <cfRule type="cellIs" dxfId="214" priority="58" operator="equal">
      <formula>TRUE</formula>
    </cfRule>
    <cfRule type="beginsWith" dxfId="213" priority="59" operator="beginsWith" text="Durchgefallen">
      <formula>LEFT(AL45,LEN("Durchgefallen"))="Durchgefallen"</formula>
    </cfRule>
    <cfRule type="beginsWith" dxfId="212" priority="60" operator="beginsWith" text="Bestanden">
      <formula>LEFT(AL45,LEN("Bestanden"))="Bestanden"</formula>
    </cfRule>
  </conditionalFormatting>
  <conditionalFormatting sqref="AO45">
    <cfRule type="cellIs" dxfId="211" priority="53" operator="equal">
      <formula>FALSE</formula>
    </cfRule>
    <cfRule type="cellIs" dxfId="210" priority="54" operator="equal">
      <formula>TRUE</formula>
    </cfRule>
    <cfRule type="beginsWith" dxfId="209" priority="55" operator="beginsWith" text="Durchgefallen">
      <formula>LEFT(AO45,LEN("Durchgefallen"))="Durchgefallen"</formula>
    </cfRule>
    <cfRule type="beginsWith" dxfId="208" priority="56" operator="beginsWith" text="Bestanden">
      <formula>LEFT(AO45,LEN("Bestanden"))="Bestanden"</formula>
    </cfRule>
  </conditionalFormatting>
  <conditionalFormatting sqref="AO45">
    <cfRule type="cellIs" dxfId="207" priority="49" operator="equal">
      <formula>FALSE</formula>
    </cfRule>
    <cfRule type="cellIs" dxfId="206" priority="50" operator="equal">
      <formula>TRUE</formula>
    </cfRule>
    <cfRule type="beginsWith" dxfId="205" priority="51" operator="beginsWith" text="Durchgefallen">
      <formula>LEFT(AO45,LEN("Durchgefallen"))="Durchgefallen"</formula>
    </cfRule>
    <cfRule type="beginsWith" dxfId="204" priority="52" operator="beginsWith" text="Bestanden">
      <formula>LEFT(AO45,LEN("Bestanden"))="Bestanden"</formula>
    </cfRule>
  </conditionalFormatting>
  <conditionalFormatting sqref="G45">
    <cfRule type="cellIs" dxfId="203" priority="45" operator="equal">
      <formula>FALSE</formula>
    </cfRule>
    <cfRule type="cellIs" dxfId="202" priority="46" operator="equal">
      <formula>TRUE</formula>
    </cfRule>
    <cfRule type="beginsWith" dxfId="201" priority="47" operator="beginsWith" text="Durchgefallen">
      <formula>LEFT(G45,LEN("Durchgefallen"))="Durchgefallen"</formula>
    </cfRule>
    <cfRule type="beginsWith" dxfId="200" priority="48" operator="beginsWith" text="Bestanden">
      <formula>LEFT(G45,LEN("Bestanden"))="Bestanden"</formula>
    </cfRule>
  </conditionalFormatting>
  <conditionalFormatting sqref="J45">
    <cfRule type="cellIs" dxfId="199" priority="41" operator="equal">
      <formula>FALSE</formula>
    </cfRule>
    <cfRule type="cellIs" dxfId="198" priority="42" operator="equal">
      <formula>TRUE</formula>
    </cfRule>
    <cfRule type="beginsWith" dxfId="197" priority="43" operator="beginsWith" text="Durchgefallen">
      <formula>LEFT(J45,LEN("Durchgefallen"))="Durchgefallen"</formula>
    </cfRule>
    <cfRule type="beginsWith" dxfId="196" priority="44" operator="beginsWith" text="Bestanden">
      <formula>LEFT(J45,LEN("Bestanden"))="Bestanden"</formula>
    </cfRule>
  </conditionalFormatting>
  <conditionalFormatting sqref="M45">
    <cfRule type="cellIs" dxfId="195" priority="37" operator="equal">
      <formula>FALSE</formula>
    </cfRule>
    <cfRule type="cellIs" dxfId="194" priority="38" operator="equal">
      <formula>TRUE</formula>
    </cfRule>
    <cfRule type="beginsWith" dxfId="193" priority="39" operator="beginsWith" text="Durchgefallen">
      <formula>LEFT(M45,LEN("Durchgefallen"))="Durchgefallen"</formula>
    </cfRule>
    <cfRule type="beginsWith" dxfId="192" priority="40" operator="beginsWith" text="Bestanden">
      <formula>LEFT(M45,LEN("Bestanden"))="Bestanden"</formula>
    </cfRule>
  </conditionalFormatting>
  <conditionalFormatting sqref="P45">
    <cfRule type="cellIs" dxfId="191" priority="33" operator="equal">
      <formula>FALSE</formula>
    </cfRule>
    <cfRule type="cellIs" dxfId="190" priority="34" operator="equal">
      <formula>TRUE</formula>
    </cfRule>
    <cfRule type="beginsWith" dxfId="189" priority="35" operator="beginsWith" text="Durchgefallen">
      <formula>LEFT(P45,LEN("Durchgefallen"))="Durchgefallen"</formula>
    </cfRule>
    <cfRule type="beginsWith" dxfId="188" priority="36" operator="beginsWith" text="Bestanden">
      <formula>LEFT(P45,LEN("Bestanden"))="Bestanden"</formula>
    </cfRule>
  </conditionalFormatting>
  <conditionalFormatting sqref="S45">
    <cfRule type="cellIs" dxfId="187" priority="29" operator="equal">
      <formula>FALSE</formula>
    </cfRule>
    <cfRule type="cellIs" dxfId="186" priority="30" operator="equal">
      <formula>TRUE</formula>
    </cfRule>
    <cfRule type="beginsWith" dxfId="185" priority="31" operator="beginsWith" text="Durchgefallen">
      <formula>LEFT(S45,LEN("Durchgefallen"))="Durchgefallen"</formula>
    </cfRule>
    <cfRule type="beginsWith" dxfId="184" priority="32" operator="beginsWith" text="Bestanden">
      <formula>LEFT(S45,LEN("Bestanden"))="Bestanden"</formula>
    </cfRule>
  </conditionalFormatting>
  <conditionalFormatting sqref="V45">
    <cfRule type="cellIs" dxfId="183" priority="25" operator="equal">
      <formula>FALSE</formula>
    </cfRule>
    <cfRule type="cellIs" dxfId="182" priority="26" operator="equal">
      <formula>TRUE</formula>
    </cfRule>
    <cfRule type="beginsWith" dxfId="181" priority="27" operator="beginsWith" text="Durchgefallen">
      <formula>LEFT(V45,LEN("Durchgefallen"))="Durchgefallen"</formula>
    </cfRule>
    <cfRule type="beginsWith" dxfId="180" priority="28" operator="beginsWith" text="Bestanden">
      <formula>LEFT(V45,LEN("Bestanden"))="Bestanden"</formula>
    </cfRule>
  </conditionalFormatting>
  <conditionalFormatting sqref="Y45">
    <cfRule type="cellIs" dxfId="179" priority="21" operator="equal">
      <formula>FALSE</formula>
    </cfRule>
    <cfRule type="cellIs" dxfId="178" priority="22" operator="equal">
      <formula>TRUE</formula>
    </cfRule>
    <cfRule type="beginsWith" dxfId="177" priority="23" operator="beginsWith" text="Durchgefallen">
      <formula>LEFT(Y45,LEN("Durchgefallen"))="Durchgefallen"</formula>
    </cfRule>
    <cfRule type="beginsWith" dxfId="176" priority="24" operator="beginsWith" text="Bestanden">
      <formula>LEFT(Y45,LEN("Bestanden"))="Bestanden"</formula>
    </cfRule>
  </conditionalFormatting>
  <conditionalFormatting sqref="AB45">
    <cfRule type="cellIs" dxfId="175" priority="17" operator="equal">
      <formula>FALSE</formula>
    </cfRule>
    <cfRule type="cellIs" dxfId="174" priority="18" operator="equal">
      <formula>TRUE</formula>
    </cfRule>
    <cfRule type="beginsWith" dxfId="173" priority="19" operator="beginsWith" text="Durchgefallen">
      <formula>LEFT(AB45,LEN("Durchgefallen"))="Durchgefallen"</formula>
    </cfRule>
    <cfRule type="beginsWith" dxfId="172" priority="20" operator="beginsWith" text="Bestanden">
      <formula>LEFT(AB45,LEN("Bestanden"))="Bestanden"</formula>
    </cfRule>
  </conditionalFormatting>
  <conditionalFormatting sqref="AE45">
    <cfRule type="cellIs" dxfId="171" priority="13" operator="equal">
      <formula>FALSE</formula>
    </cfRule>
    <cfRule type="cellIs" dxfId="170" priority="14" operator="equal">
      <formula>TRUE</formula>
    </cfRule>
    <cfRule type="beginsWith" dxfId="169" priority="15" operator="beginsWith" text="Durchgefallen">
      <formula>LEFT(AE45,LEN("Durchgefallen"))="Durchgefallen"</formula>
    </cfRule>
    <cfRule type="beginsWith" dxfId="168" priority="16" operator="beginsWith" text="Bestanden">
      <formula>LEFT(AE45,LEN("Bestanden"))="Bestanden"</formula>
    </cfRule>
  </conditionalFormatting>
  <conditionalFormatting sqref="AH45">
    <cfRule type="cellIs" dxfId="167" priority="9" operator="equal">
      <formula>FALSE</formula>
    </cfRule>
    <cfRule type="cellIs" dxfId="166" priority="10" operator="equal">
      <formula>TRUE</formula>
    </cfRule>
    <cfRule type="beginsWith" dxfId="165" priority="11" operator="beginsWith" text="Durchgefallen">
      <formula>LEFT(AH45,LEN("Durchgefallen"))="Durchgefallen"</formula>
    </cfRule>
    <cfRule type="beginsWith" dxfId="164" priority="12" operator="beginsWith" text="Bestanden">
      <formula>LEFT(AH45,LEN("Bestanden"))="Bestanden"</formula>
    </cfRule>
  </conditionalFormatting>
  <conditionalFormatting sqref="AK45">
    <cfRule type="cellIs" dxfId="163" priority="5" operator="equal">
      <formula>FALSE</formula>
    </cfRule>
    <cfRule type="cellIs" dxfId="162" priority="6" operator="equal">
      <formula>TRUE</formula>
    </cfRule>
    <cfRule type="beginsWith" dxfId="161" priority="7" operator="beginsWith" text="Durchgefallen">
      <formula>LEFT(AK45,LEN("Durchgefallen"))="Durchgefallen"</formula>
    </cfRule>
    <cfRule type="beginsWith" dxfId="160" priority="8" operator="beginsWith" text="Bestanden">
      <formula>LEFT(AK45,LEN("Bestanden"))="Bestanden"</formula>
    </cfRule>
  </conditionalFormatting>
  <conditionalFormatting sqref="AN45">
    <cfRule type="cellIs" dxfId="159" priority="1" operator="equal">
      <formula>FALSE</formula>
    </cfRule>
    <cfRule type="cellIs" dxfId="158" priority="2" operator="equal">
      <formula>TRUE</formula>
    </cfRule>
    <cfRule type="beginsWith" dxfId="157" priority="3" operator="beginsWith" text="Durchgefallen">
      <formula>LEFT(AN45,LEN("Durchgefallen"))="Durchgefallen"</formula>
    </cfRule>
    <cfRule type="beginsWith" dxfId="156" priority="4" operator="beginsWith" text="Bestanden">
      <formula>LEFT(AN45,LEN("Bestanden"))="Bestanden"</formula>
    </cfRule>
  </conditionalFormatting>
  <pageMargins left="0.7" right="0.7" top="0.78740157499999996" bottom="0.78740157499999996" header="0.3" footer="0.3"/>
  <pageSetup paperSize="9" orientation="portrait" horizontalDpi="0" verticalDpi="0"/>
  <ignoredErrors>
    <ignoredError sqref="E39:E41 G39:H41 J39:K41 M39:N41 P39:Q41 S39:T41 V39:W41 Y39:Z41 AB39:AC41 AE39:AF41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eseArbeitsmappe.LoopSheetsPDF" altText="PDFs Generieren">
                <anchor moveWithCells="1" sizeWithCells="1">
                  <from>
                    <xdr:col>1</xdr:col>
                    <xdr:colOff>127000</xdr:colOff>
                    <xdr:row>2</xdr:row>
                    <xdr:rowOff>127000</xdr:rowOff>
                  </from>
                  <to>
                    <xdr:col>1</xdr:col>
                    <xdr:colOff>2413000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94B7D2-83FE-094A-BE03-41EFEF6DDDB4}">
          <x14:formula1>
            <xm:f>Settings!$E$34:$E$36</xm:f>
          </x14:formula1>
          <xm:sqref>AP4:AP9 F4:F9 I4:I9 L4:L9 O4:O9 R4:R9 U4:U9 X4:X9 AA4:AA9 AD4:AD9 AG4:AG9 AJ4:AJ9 AM4:AM9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A1AB-C1A4-4145-BFA3-CDB1F10DA83B}">
  <sheetPr codeName="Tabelle4">
    <pageSetUpPr fitToPage="1"/>
  </sheetPr>
  <dimension ref="A1:G56"/>
  <sheetViews>
    <sheetView workbookViewId="0">
      <selection activeCell="E1" sqref="B1:E1048576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D</v>
      </c>
      <c r="E1" s="16" t="str">
        <f>SUBSTITUTE(ADDRESS(1,A2+1,4),"1","")</f>
        <v>E</v>
      </c>
      <c r="F1" s="16" t="str">
        <f>SUBSTITUTE(ADDRESS(1,A2+2,4),"1","")</f>
        <v>F</v>
      </c>
    </row>
    <row r="2" spans="1:7" ht="31" x14ac:dyDescent="0.35">
      <c r="A2" s="153">
        <v>4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62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62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62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62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D41:E41"/>
    <mergeCell ref="B2:E2"/>
    <mergeCell ref="B3:E3"/>
    <mergeCell ref="D13:E13"/>
    <mergeCell ref="D20:E20"/>
    <mergeCell ref="D30:E30"/>
  </mergeCells>
  <conditionalFormatting sqref="E7">
    <cfRule type="expression" dxfId="155" priority="7">
      <formula>F7=FALSE</formula>
    </cfRule>
  </conditionalFormatting>
  <conditionalFormatting sqref="D7">
    <cfRule type="expression" dxfId="154" priority="1">
      <formula>F7=FALSE</formula>
    </cfRule>
  </conditionalFormatting>
  <conditionalFormatting sqref="E8">
    <cfRule type="expression" dxfId="153" priority="8">
      <formula>F8=FALSE</formula>
    </cfRule>
  </conditionalFormatting>
  <conditionalFormatting sqref="D8">
    <cfRule type="expression" dxfId="152" priority="2">
      <formula>F8=FALSE</formula>
    </cfRule>
  </conditionalFormatting>
  <conditionalFormatting sqref="D9">
    <cfRule type="expression" dxfId="151" priority="3">
      <formula>F9=FALSE</formula>
    </cfRule>
  </conditionalFormatting>
  <conditionalFormatting sqref="D10">
    <cfRule type="expression" dxfId="150" priority="4">
      <formula>F10=FALSE</formula>
    </cfRule>
  </conditionalFormatting>
  <conditionalFormatting sqref="D11">
    <cfRule type="expression" dxfId="149" priority="5">
      <formula>F11=FALSE</formula>
    </cfRule>
  </conditionalFormatting>
  <conditionalFormatting sqref="D12">
    <cfRule type="expression" dxfId="148" priority="6">
      <formula>F12=FALSE</formula>
    </cfRule>
  </conditionalFormatting>
  <conditionalFormatting sqref="E9">
    <cfRule type="expression" dxfId="147" priority="9">
      <formula>F9=FALSE</formula>
    </cfRule>
  </conditionalFormatting>
  <conditionalFormatting sqref="E10">
    <cfRule type="expression" dxfId="146" priority="10">
      <formula>F10=FALSE</formula>
    </cfRule>
  </conditionalFormatting>
  <conditionalFormatting sqref="E11">
    <cfRule type="expression" dxfId="145" priority="11">
      <formula>F11=FALSE</formula>
    </cfRule>
  </conditionalFormatting>
  <conditionalFormatting sqref="E12">
    <cfRule type="expression" dxfId="14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0FBA-A506-414D-86A4-4183364834D0}">
  <sheetPr codeName="Tabelle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G</v>
      </c>
      <c r="E1" s="16" t="str">
        <f>SUBSTITUTE(ADDRESS(1,A2+1,4),"1","")</f>
        <v>H</v>
      </c>
      <c r="F1" s="16" t="str">
        <f>SUBSTITUTE(ADDRESS(1,A2+2,4),"1","")</f>
        <v>I</v>
      </c>
    </row>
    <row r="2" spans="1:7" ht="31" x14ac:dyDescent="0.35">
      <c r="A2" s="153">
        <v>7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19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43" priority="7">
      <formula>F7=FALSE</formula>
    </cfRule>
  </conditionalFormatting>
  <conditionalFormatting sqref="D7">
    <cfRule type="expression" dxfId="142" priority="1">
      <formula>F7=FALSE</formula>
    </cfRule>
  </conditionalFormatting>
  <conditionalFormatting sqref="E8">
    <cfRule type="expression" dxfId="141" priority="8">
      <formula>F8=FALSE</formula>
    </cfRule>
  </conditionalFormatting>
  <conditionalFormatting sqref="D8">
    <cfRule type="expression" dxfId="140" priority="2">
      <formula>F8=FALSE</formula>
    </cfRule>
  </conditionalFormatting>
  <conditionalFormatting sqref="D9">
    <cfRule type="expression" dxfId="139" priority="3">
      <formula>F9=FALSE</formula>
    </cfRule>
  </conditionalFormatting>
  <conditionalFormatting sqref="D10">
    <cfRule type="expression" dxfId="138" priority="4">
      <formula>F10=FALSE</formula>
    </cfRule>
  </conditionalFormatting>
  <conditionalFormatting sqref="D11">
    <cfRule type="expression" dxfId="137" priority="5">
      <formula>F11=FALSE</formula>
    </cfRule>
  </conditionalFormatting>
  <conditionalFormatting sqref="D12">
    <cfRule type="expression" dxfId="136" priority="6">
      <formula>F12=FALSE</formula>
    </cfRule>
  </conditionalFormatting>
  <conditionalFormatting sqref="E9">
    <cfRule type="expression" dxfId="135" priority="9">
      <formula>F9=FALSE</formula>
    </cfRule>
  </conditionalFormatting>
  <conditionalFormatting sqref="E10">
    <cfRule type="expression" dxfId="134" priority="10">
      <formula>F10=FALSE</formula>
    </cfRule>
  </conditionalFormatting>
  <conditionalFormatting sqref="E11">
    <cfRule type="expression" dxfId="133" priority="11">
      <formula>F11=FALSE</formula>
    </cfRule>
  </conditionalFormatting>
  <conditionalFormatting sqref="E12">
    <cfRule type="expression" dxfId="13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BEAF-5596-0F46-832D-6A98F1F68DD9}">
  <sheetPr codeName="Tabelle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J</v>
      </c>
      <c r="E1" s="16" t="str">
        <f>SUBSTITUTE(ADDRESS(1,A2+1,4),"1","")</f>
        <v>K</v>
      </c>
      <c r="F1" s="16" t="str">
        <f>SUBSTITUTE(ADDRESS(1,A2+2,4),"1","")</f>
        <v>L</v>
      </c>
    </row>
    <row r="2" spans="1:7" ht="31" x14ac:dyDescent="0.35">
      <c r="A2" s="153">
        <v>10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25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31" priority="7">
      <formula>F7=FALSE</formula>
    </cfRule>
  </conditionalFormatting>
  <conditionalFormatting sqref="D7">
    <cfRule type="expression" dxfId="130" priority="1">
      <formula>F7=FALSE</formula>
    </cfRule>
  </conditionalFormatting>
  <conditionalFormatting sqref="E8">
    <cfRule type="expression" dxfId="129" priority="8">
      <formula>F8=FALSE</formula>
    </cfRule>
  </conditionalFormatting>
  <conditionalFormatting sqref="D8">
    <cfRule type="expression" dxfId="128" priority="2">
      <formula>F8=FALSE</formula>
    </cfRule>
  </conditionalFormatting>
  <conditionalFormatting sqref="D9">
    <cfRule type="expression" dxfId="127" priority="3">
      <formula>F9=FALSE</formula>
    </cfRule>
  </conditionalFormatting>
  <conditionalFormatting sqref="D10">
    <cfRule type="expression" dxfId="126" priority="4">
      <formula>F10=FALSE</formula>
    </cfRule>
  </conditionalFormatting>
  <conditionalFormatting sqref="D11">
    <cfRule type="expression" dxfId="125" priority="5">
      <formula>F11=FALSE</formula>
    </cfRule>
  </conditionalFormatting>
  <conditionalFormatting sqref="D12">
    <cfRule type="expression" dxfId="124" priority="6">
      <formula>F12=FALSE</formula>
    </cfRule>
  </conditionalFormatting>
  <conditionalFormatting sqref="E9">
    <cfRule type="expression" dxfId="123" priority="9">
      <formula>F9=FALSE</formula>
    </cfRule>
  </conditionalFormatting>
  <conditionalFormatting sqref="E10">
    <cfRule type="expression" dxfId="122" priority="10">
      <formula>F10=FALSE</formula>
    </cfRule>
  </conditionalFormatting>
  <conditionalFormatting sqref="E11">
    <cfRule type="expression" dxfId="121" priority="11">
      <formula>F11=FALSE</formula>
    </cfRule>
  </conditionalFormatting>
  <conditionalFormatting sqref="E12">
    <cfRule type="expression" dxfId="12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1DDEC-0DD2-4A48-97C6-E3931E74761D}">
  <sheetPr codeName="Tabelle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M</v>
      </c>
      <c r="E1" s="16" t="str">
        <f>SUBSTITUTE(ADDRESS(1,A2+1,4),"1","")</f>
        <v>N</v>
      </c>
      <c r="F1" s="16" t="str">
        <f>SUBSTITUTE(ADDRESS(1,A2+2,4),"1","")</f>
        <v>O</v>
      </c>
    </row>
    <row r="2" spans="1:7" ht="31" x14ac:dyDescent="0.35">
      <c r="A2" s="153">
        <v>13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85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9" priority="7">
      <formula>F7=FALSE</formula>
    </cfRule>
  </conditionalFormatting>
  <conditionalFormatting sqref="D7">
    <cfRule type="expression" dxfId="118" priority="1">
      <formula>F7=FALSE</formula>
    </cfRule>
  </conditionalFormatting>
  <conditionalFormatting sqref="E8">
    <cfRule type="expression" dxfId="117" priority="8">
      <formula>F8=FALSE</formula>
    </cfRule>
  </conditionalFormatting>
  <conditionalFormatting sqref="D8">
    <cfRule type="expression" dxfId="116" priority="2">
      <formula>F8=FALSE</formula>
    </cfRule>
  </conditionalFormatting>
  <conditionalFormatting sqref="D9">
    <cfRule type="expression" dxfId="115" priority="3">
      <formula>F9=FALSE</formula>
    </cfRule>
  </conditionalFormatting>
  <conditionalFormatting sqref="D10">
    <cfRule type="expression" dxfId="114" priority="4">
      <formula>F10=FALSE</formula>
    </cfRule>
  </conditionalFormatting>
  <conditionalFormatting sqref="D11">
    <cfRule type="expression" dxfId="113" priority="5">
      <formula>F11=FALSE</formula>
    </cfRule>
  </conditionalFormatting>
  <conditionalFormatting sqref="D12">
    <cfRule type="expression" dxfId="112" priority="6">
      <formula>F12=FALSE</formula>
    </cfRule>
  </conditionalFormatting>
  <conditionalFormatting sqref="E9">
    <cfRule type="expression" dxfId="111" priority="9">
      <formula>F9=FALSE</formula>
    </cfRule>
  </conditionalFormatting>
  <conditionalFormatting sqref="E10">
    <cfRule type="expression" dxfId="110" priority="10">
      <formula>F10=FALSE</formula>
    </cfRule>
  </conditionalFormatting>
  <conditionalFormatting sqref="E11">
    <cfRule type="expression" dxfId="109" priority="11">
      <formula>F11=FALSE</formula>
    </cfRule>
  </conditionalFormatting>
  <conditionalFormatting sqref="E12">
    <cfRule type="expression" dxfId="10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A5930-2F69-7E45-8579-FDAAEE367DBE}">
  <sheetPr codeName="Tabelle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P</v>
      </c>
      <c r="E1" s="16" t="str">
        <f>SUBSTITUTE(ADDRESS(1,A2+1,4),"1","")</f>
        <v>Q</v>
      </c>
      <c r="F1" s="16" t="str">
        <f>SUBSTITUTE(ADDRESS(1,A2+2,4),"1","")</f>
        <v>R</v>
      </c>
    </row>
    <row r="2" spans="1:7" ht="31" x14ac:dyDescent="0.35">
      <c r="A2" s="153">
        <v>16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07" priority="7">
      <formula>F7=FALSE</formula>
    </cfRule>
  </conditionalFormatting>
  <conditionalFormatting sqref="D7">
    <cfRule type="expression" dxfId="106" priority="1">
      <formula>F7=FALSE</formula>
    </cfRule>
  </conditionalFormatting>
  <conditionalFormatting sqref="E8">
    <cfRule type="expression" dxfId="105" priority="8">
      <formula>F8=FALSE</formula>
    </cfRule>
  </conditionalFormatting>
  <conditionalFormatting sqref="D8">
    <cfRule type="expression" dxfId="104" priority="2">
      <formula>F8=FALSE</formula>
    </cfRule>
  </conditionalFormatting>
  <conditionalFormatting sqref="D9">
    <cfRule type="expression" dxfId="103" priority="3">
      <formula>F9=FALSE</formula>
    </cfRule>
  </conditionalFormatting>
  <conditionalFormatting sqref="D10">
    <cfRule type="expression" dxfId="102" priority="4">
      <formula>F10=FALSE</formula>
    </cfRule>
  </conditionalFormatting>
  <conditionalFormatting sqref="D11">
    <cfRule type="expression" dxfId="101" priority="5">
      <formula>F11=FALSE</formula>
    </cfRule>
  </conditionalFormatting>
  <conditionalFormatting sqref="D12">
    <cfRule type="expression" dxfId="100" priority="6">
      <formula>F12=FALSE</formula>
    </cfRule>
  </conditionalFormatting>
  <conditionalFormatting sqref="E9">
    <cfRule type="expression" dxfId="99" priority="9">
      <formula>F9=FALSE</formula>
    </cfRule>
  </conditionalFormatting>
  <conditionalFormatting sqref="E10">
    <cfRule type="expression" dxfId="98" priority="10">
      <formula>F10=FALSE</formula>
    </cfRule>
  </conditionalFormatting>
  <conditionalFormatting sqref="E11">
    <cfRule type="expression" dxfId="97" priority="11">
      <formula>F11=FALSE</formula>
    </cfRule>
  </conditionalFormatting>
  <conditionalFormatting sqref="E12">
    <cfRule type="expression" dxfId="9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EC1D-1F5A-6F48-AF70-38DD7D6D3BFD}">
  <sheetPr codeName="Tabelle9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S</v>
      </c>
      <c r="E1" s="16" t="str">
        <f>SUBSTITUTE(ADDRESS(1,A2+1,4),"1","")</f>
        <v>T</v>
      </c>
      <c r="F1" s="16" t="str">
        <f>SUBSTITUTE(ADDRESS(1,A2+2,4),"1","")</f>
        <v>U</v>
      </c>
    </row>
    <row r="2" spans="1:7" ht="31" x14ac:dyDescent="0.35">
      <c r="A2" s="153">
        <v>19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95" priority="7">
      <formula>F7=FALSE</formula>
    </cfRule>
  </conditionalFormatting>
  <conditionalFormatting sqref="D7">
    <cfRule type="expression" dxfId="94" priority="1">
      <formula>F7=FALSE</formula>
    </cfRule>
  </conditionalFormatting>
  <conditionalFormatting sqref="E8">
    <cfRule type="expression" dxfId="93" priority="8">
      <formula>F8=FALSE</formula>
    </cfRule>
  </conditionalFormatting>
  <conditionalFormatting sqref="D8">
    <cfRule type="expression" dxfId="92" priority="2">
      <formula>F8=FALSE</formula>
    </cfRule>
  </conditionalFormatting>
  <conditionalFormatting sqref="D9">
    <cfRule type="expression" dxfId="91" priority="3">
      <formula>F9=FALSE</formula>
    </cfRule>
  </conditionalFormatting>
  <conditionalFormatting sqref="D10">
    <cfRule type="expression" dxfId="90" priority="4">
      <formula>F10=FALSE</formula>
    </cfRule>
  </conditionalFormatting>
  <conditionalFormatting sqref="D11">
    <cfRule type="expression" dxfId="89" priority="5">
      <formula>F11=FALSE</formula>
    </cfRule>
  </conditionalFormatting>
  <conditionalFormatting sqref="D12">
    <cfRule type="expression" dxfId="88" priority="6">
      <formula>F12=FALSE</formula>
    </cfRule>
  </conditionalFormatting>
  <conditionalFormatting sqref="E9">
    <cfRule type="expression" dxfId="87" priority="9">
      <formula>F9=FALSE</formula>
    </cfRule>
  </conditionalFormatting>
  <conditionalFormatting sqref="E10">
    <cfRule type="expression" dxfId="86" priority="10">
      <formula>F10=FALSE</formula>
    </cfRule>
  </conditionalFormatting>
  <conditionalFormatting sqref="E11">
    <cfRule type="expression" dxfId="85" priority="11">
      <formula>F11=FALSE</formula>
    </cfRule>
  </conditionalFormatting>
  <conditionalFormatting sqref="E12">
    <cfRule type="expression" dxfId="8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B6EC7-11F1-3042-BCDD-D71C9B34DCF9}">
  <sheetPr codeName="Tabelle10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V</v>
      </c>
      <c r="E1" s="16" t="str">
        <f>SUBSTITUTE(ADDRESS(1,A2+1,4),"1","")</f>
        <v>W</v>
      </c>
      <c r="F1" s="16" t="str">
        <f>SUBSTITUTE(ADDRESS(1,A2+2,4),"1","")</f>
        <v>X</v>
      </c>
    </row>
    <row r="2" spans="1:7" ht="31" x14ac:dyDescent="0.35">
      <c r="A2" s="153">
        <v>22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70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83" priority="7">
      <formula>F7=FALSE</formula>
    </cfRule>
  </conditionalFormatting>
  <conditionalFormatting sqref="D7">
    <cfRule type="expression" dxfId="82" priority="1">
      <formula>F7=FALSE</formula>
    </cfRule>
  </conditionalFormatting>
  <conditionalFormatting sqref="E8">
    <cfRule type="expression" dxfId="81" priority="8">
      <formula>F8=FALSE</formula>
    </cfRule>
  </conditionalFormatting>
  <conditionalFormatting sqref="D8">
    <cfRule type="expression" dxfId="80" priority="2">
      <formula>F8=FALSE</formula>
    </cfRule>
  </conditionalFormatting>
  <conditionalFormatting sqref="D9">
    <cfRule type="expression" dxfId="79" priority="3">
      <formula>F9=FALSE</formula>
    </cfRule>
  </conditionalFormatting>
  <conditionalFormatting sqref="D10">
    <cfRule type="expression" dxfId="78" priority="4">
      <formula>F10=FALSE</formula>
    </cfRule>
  </conditionalFormatting>
  <conditionalFormatting sqref="D11">
    <cfRule type="expression" dxfId="77" priority="5">
      <formula>F11=FALSE</formula>
    </cfRule>
  </conditionalFormatting>
  <conditionalFormatting sqref="D12">
    <cfRule type="expression" dxfId="76" priority="6">
      <formula>F12=FALSE</formula>
    </cfRule>
  </conditionalFormatting>
  <conditionalFormatting sqref="E9">
    <cfRule type="expression" dxfId="75" priority="9">
      <formula>F9=FALSE</formula>
    </cfRule>
  </conditionalFormatting>
  <conditionalFormatting sqref="E10">
    <cfRule type="expression" dxfId="74" priority="10">
      <formula>F10=FALSE</formula>
    </cfRule>
  </conditionalFormatting>
  <conditionalFormatting sqref="E11">
    <cfRule type="expression" dxfId="73" priority="11">
      <formula>F11=FALSE</formula>
    </cfRule>
  </conditionalFormatting>
  <conditionalFormatting sqref="E12">
    <cfRule type="expression" dxfId="7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BC6-8328-0847-A847-39783B198366}">
  <sheetPr codeName="Tabelle11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Y</v>
      </c>
      <c r="E1" s="16" t="str">
        <f>SUBSTITUTE(ADDRESS(1,A2+1,4),"1","")</f>
        <v>Z</v>
      </c>
      <c r="F1" s="16" t="str">
        <f>SUBSTITUTE(ADDRESS(1,A2+2,4),"1","")</f>
        <v>AA</v>
      </c>
    </row>
    <row r="2" spans="1:7" ht="31" x14ac:dyDescent="0.35">
      <c r="A2" s="153">
        <v>25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71" priority="7">
      <formula>F7=FALSE</formula>
    </cfRule>
  </conditionalFormatting>
  <conditionalFormatting sqref="D7">
    <cfRule type="expression" dxfId="70" priority="1">
      <formula>F7=FALSE</formula>
    </cfRule>
  </conditionalFormatting>
  <conditionalFormatting sqref="E8">
    <cfRule type="expression" dxfId="69" priority="8">
      <formula>F8=FALSE</formula>
    </cfRule>
  </conditionalFormatting>
  <conditionalFormatting sqref="D8">
    <cfRule type="expression" dxfId="68" priority="2">
      <formula>F8=FALSE</formula>
    </cfRule>
  </conditionalFormatting>
  <conditionalFormatting sqref="D9">
    <cfRule type="expression" dxfId="67" priority="3">
      <formula>F9=FALSE</formula>
    </cfRule>
  </conditionalFormatting>
  <conditionalFormatting sqref="D10">
    <cfRule type="expression" dxfId="66" priority="4">
      <formula>F10=FALSE</formula>
    </cfRule>
  </conditionalFormatting>
  <conditionalFormatting sqref="D11">
    <cfRule type="expression" dxfId="65" priority="5">
      <formula>F11=FALSE</formula>
    </cfRule>
  </conditionalFormatting>
  <conditionalFormatting sqref="D12">
    <cfRule type="expression" dxfId="64" priority="6">
      <formula>F12=FALSE</formula>
    </cfRule>
  </conditionalFormatting>
  <conditionalFormatting sqref="E9">
    <cfRule type="expression" dxfId="63" priority="9">
      <formula>F9=FALSE</formula>
    </cfRule>
  </conditionalFormatting>
  <conditionalFormatting sqref="E10">
    <cfRule type="expression" dxfId="62" priority="10">
      <formula>F10=FALSE</formula>
    </cfRule>
  </conditionalFormatting>
  <conditionalFormatting sqref="E11">
    <cfRule type="expression" dxfId="61" priority="11">
      <formula>F11=FALSE</formula>
    </cfRule>
  </conditionalFormatting>
  <conditionalFormatting sqref="E12">
    <cfRule type="expression" dxfId="6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3840-BE55-CB43-AC93-F1B11844FAC3}">
  <sheetPr codeName="Tabelle14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AB</v>
      </c>
      <c r="E1" s="16" t="str">
        <f>SUBSTITUTE(ADDRESS(1,A2+1,4),"1","")</f>
        <v>AC</v>
      </c>
      <c r="F1" s="16" t="str">
        <f>SUBSTITUTE(ADDRESS(1,A2+2,4),"1","")</f>
        <v>AD</v>
      </c>
    </row>
    <row r="2" spans="1:7" ht="31" x14ac:dyDescent="0.35">
      <c r="A2" s="153">
        <v>28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59" priority="7">
      <formula>F7=FALSE</formula>
    </cfRule>
  </conditionalFormatting>
  <conditionalFormatting sqref="D7">
    <cfRule type="expression" dxfId="58" priority="1">
      <formula>F7=FALSE</formula>
    </cfRule>
  </conditionalFormatting>
  <conditionalFormatting sqref="E8">
    <cfRule type="expression" dxfId="57" priority="8">
      <formula>F8=FALSE</formula>
    </cfRule>
  </conditionalFormatting>
  <conditionalFormatting sqref="D8">
    <cfRule type="expression" dxfId="56" priority="2">
      <formula>F8=FALSE</formula>
    </cfRule>
  </conditionalFormatting>
  <conditionalFormatting sqref="D9">
    <cfRule type="expression" dxfId="55" priority="3">
      <formula>F9=FALSE</formula>
    </cfRule>
  </conditionalFormatting>
  <conditionalFormatting sqref="D10">
    <cfRule type="expression" dxfId="54" priority="4">
      <formula>F10=FALSE</formula>
    </cfRule>
  </conditionalFormatting>
  <conditionalFormatting sqref="D11">
    <cfRule type="expression" dxfId="53" priority="5">
      <formula>F11=FALSE</formula>
    </cfRule>
  </conditionalFormatting>
  <conditionalFormatting sqref="D12">
    <cfRule type="expression" dxfId="52" priority="6">
      <formula>F12=FALSE</formula>
    </cfRule>
  </conditionalFormatting>
  <conditionalFormatting sqref="E9">
    <cfRule type="expression" dxfId="51" priority="9">
      <formula>F9=FALSE</formula>
    </cfRule>
  </conditionalFormatting>
  <conditionalFormatting sqref="E10">
    <cfRule type="expression" dxfId="50" priority="10">
      <formula>F10=FALSE</formula>
    </cfRule>
  </conditionalFormatting>
  <conditionalFormatting sqref="E11">
    <cfRule type="expression" dxfId="49" priority="11">
      <formula>F11=FALSE</formula>
    </cfRule>
  </conditionalFormatting>
  <conditionalFormatting sqref="E12">
    <cfRule type="expression" dxfId="4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0D3D-7C8B-0341-B252-4E5AFBFF944F}">
  <sheetPr codeName="Tabelle1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AE</v>
      </c>
      <c r="E1" s="16" t="str">
        <f>SUBSTITUTE(ADDRESS(1,A2+1,4),"1","")</f>
        <v>AF</v>
      </c>
      <c r="F1" s="16" t="str">
        <f>SUBSTITUTE(ADDRESS(1,A2+2,4),"1","")</f>
        <v>AG</v>
      </c>
    </row>
    <row r="2" spans="1:7" ht="31" x14ac:dyDescent="0.35">
      <c r="A2" s="153">
        <v>31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47" priority="7">
      <formula>F7=FALSE</formula>
    </cfRule>
  </conditionalFormatting>
  <conditionalFormatting sqref="D7">
    <cfRule type="expression" dxfId="46" priority="1">
      <formula>F7=FALSE</formula>
    </cfRule>
  </conditionalFormatting>
  <conditionalFormatting sqref="E8">
    <cfRule type="expression" dxfId="45" priority="8">
      <formula>F8=FALSE</formula>
    </cfRule>
  </conditionalFormatting>
  <conditionalFormatting sqref="D8">
    <cfRule type="expression" dxfId="44" priority="2">
      <formula>F8=FALSE</formula>
    </cfRule>
  </conditionalFormatting>
  <conditionalFormatting sqref="D9">
    <cfRule type="expression" dxfId="43" priority="3">
      <formula>F9=FALSE</formula>
    </cfRule>
  </conditionalFormatting>
  <conditionalFormatting sqref="D10">
    <cfRule type="expression" dxfId="42" priority="4">
      <formula>F10=FALSE</formula>
    </cfRule>
  </conditionalFormatting>
  <conditionalFormatting sqref="D11">
    <cfRule type="expression" dxfId="41" priority="5">
      <formula>F11=FALSE</formula>
    </cfRule>
  </conditionalFormatting>
  <conditionalFormatting sqref="D12">
    <cfRule type="expression" dxfId="40" priority="6">
      <formula>F12=FALSE</formula>
    </cfRule>
  </conditionalFormatting>
  <conditionalFormatting sqref="E9">
    <cfRule type="expression" dxfId="39" priority="9">
      <formula>F9=FALSE</formula>
    </cfRule>
  </conditionalFormatting>
  <conditionalFormatting sqref="E10">
    <cfRule type="expression" dxfId="38" priority="10">
      <formula>F10=FALSE</formula>
    </cfRule>
  </conditionalFormatting>
  <conditionalFormatting sqref="E11">
    <cfRule type="expression" dxfId="37" priority="11">
      <formula>F11=FALSE</formula>
    </cfRule>
  </conditionalFormatting>
  <conditionalFormatting sqref="E12">
    <cfRule type="expression" dxfId="3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E8C0-D043-1941-A4E1-80293F7B8B5A}">
  <sheetPr codeName="Tabelle1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AH</v>
      </c>
      <c r="E1" s="16" t="str">
        <f>SUBSTITUTE(ADDRESS(1,A2+1,4),"1","")</f>
        <v>AI</v>
      </c>
      <c r="F1" s="16" t="str">
        <f>SUBSTITUTE(ADDRESS(1,A2+2,4),"1","")</f>
        <v>AJ</v>
      </c>
    </row>
    <row r="2" spans="1:7" ht="31" x14ac:dyDescent="0.35">
      <c r="A2" s="153">
        <v>34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35" priority="7">
      <formula>F7=FALSE</formula>
    </cfRule>
  </conditionalFormatting>
  <conditionalFormatting sqref="D7">
    <cfRule type="expression" dxfId="34" priority="1">
      <formula>F7=FALSE</formula>
    </cfRule>
  </conditionalFormatting>
  <conditionalFormatting sqref="E8">
    <cfRule type="expression" dxfId="33" priority="8">
      <formula>F8=FALSE</formula>
    </cfRule>
  </conditionalFormatting>
  <conditionalFormatting sqref="D8">
    <cfRule type="expression" dxfId="32" priority="2">
      <formula>F8=FALSE</formula>
    </cfRule>
  </conditionalFormatting>
  <conditionalFormatting sqref="D9">
    <cfRule type="expression" dxfId="31" priority="3">
      <formula>F9=FALSE</formula>
    </cfRule>
  </conditionalFormatting>
  <conditionalFormatting sqref="D10">
    <cfRule type="expression" dxfId="30" priority="4">
      <formula>F10=FALSE</formula>
    </cfRule>
  </conditionalFormatting>
  <conditionalFormatting sqref="D11">
    <cfRule type="expression" dxfId="29" priority="5">
      <formula>F11=FALSE</formula>
    </cfRule>
  </conditionalFormatting>
  <conditionalFormatting sqref="D12">
    <cfRule type="expression" dxfId="28" priority="6">
      <formula>F12=FALSE</formula>
    </cfRule>
  </conditionalFormatting>
  <conditionalFormatting sqref="E9">
    <cfRule type="expression" dxfId="27" priority="9">
      <formula>F9=FALSE</formula>
    </cfRule>
  </conditionalFormatting>
  <conditionalFormatting sqref="E10">
    <cfRule type="expression" dxfId="26" priority="10">
      <formula>F10=FALSE</formula>
    </cfRule>
  </conditionalFormatting>
  <conditionalFormatting sqref="E11">
    <cfRule type="expression" dxfId="25" priority="11">
      <formula>F11=FALSE</formula>
    </cfRule>
  </conditionalFormatting>
  <conditionalFormatting sqref="E12">
    <cfRule type="expression" dxfId="2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CE-865A-C640-B23A-DDC623696D65}">
  <sheetPr codeName="Tabelle1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AK</v>
      </c>
      <c r="E1" s="16" t="str">
        <f>SUBSTITUTE(ADDRESS(1,A2+1,4),"1","")</f>
        <v>AL</v>
      </c>
      <c r="F1" s="16" t="str">
        <f>SUBSTITUTE(ADDRESS(1,A2+2,4),"1","")</f>
        <v>AM</v>
      </c>
    </row>
    <row r="2" spans="1:7" ht="31" x14ac:dyDescent="0.35">
      <c r="A2" s="153">
        <v>37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23" priority="7">
      <formula>F7=FALSE</formula>
    </cfRule>
  </conditionalFormatting>
  <conditionalFormatting sqref="D7">
    <cfRule type="expression" dxfId="22" priority="1">
      <formula>F7=FALSE</formula>
    </cfRule>
  </conditionalFormatting>
  <conditionalFormatting sqref="E8">
    <cfRule type="expression" dxfId="21" priority="8">
      <formula>F8=FALSE</formula>
    </cfRule>
  </conditionalFormatting>
  <conditionalFormatting sqref="D8">
    <cfRule type="expression" dxfId="20" priority="2">
      <formula>F8=FALSE</formula>
    </cfRule>
  </conditionalFormatting>
  <conditionalFormatting sqref="D9">
    <cfRule type="expression" dxfId="19" priority="3">
      <formula>F9=FALSE</formula>
    </cfRule>
  </conditionalFormatting>
  <conditionalFormatting sqref="D10">
    <cfRule type="expression" dxfId="18" priority="4">
      <formula>F10=FALSE</formula>
    </cfRule>
  </conditionalFormatting>
  <conditionalFormatting sqref="D11">
    <cfRule type="expression" dxfId="17" priority="5">
      <formula>F11=FALSE</formula>
    </cfRule>
  </conditionalFormatting>
  <conditionalFormatting sqref="D12">
    <cfRule type="expression" dxfId="16" priority="6">
      <formula>F12=FALSE</formula>
    </cfRule>
  </conditionalFormatting>
  <conditionalFormatting sqref="E9">
    <cfRule type="expression" dxfId="15" priority="9">
      <formula>F9=FALSE</formula>
    </cfRule>
  </conditionalFormatting>
  <conditionalFormatting sqref="E10">
    <cfRule type="expression" dxfId="14" priority="10">
      <formula>F10=FALSE</formula>
    </cfRule>
  </conditionalFormatting>
  <conditionalFormatting sqref="E11">
    <cfRule type="expression" dxfId="13" priority="11">
      <formula>F11=FALSE</formula>
    </cfRule>
  </conditionalFormatting>
  <conditionalFormatting sqref="E12">
    <cfRule type="expression" dxfId="1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9139-7FF4-C348-B566-65ED4D7D546A}">
  <sheetPr codeName="Tabelle1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AN</v>
      </c>
      <c r="E1" s="16" t="str">
        <f>SUBSTITUTE(ADDRESS(1,A2+1,4),"1","")</f>
        <v>AO</v>
      </c>
      <c r="F1" s="16" t="str">
        <f>SUBSTITUTE(ADDRESS(1,A2+2,4),"1","")</f>
        <v>AP</v>
      </c>
    </row>
    <row r="2" spans="1:7" ht="31" x14ac:dyDescent="0.35">
      <c r="A2" s="153">
        <v>40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20220621</v>
      </c>
      <c r="B3" s="239">
        <f ca="1">TODAY()</f>
        <v>44733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" priority="7">
      <formula>F7=FALSE</formula>
    </cfRule>
  </conditionalFormatting>
  <conditionalFormatting sqref="D7">
    <cfRule type="expression" dxfId="10" priority="1">
      <formula>F7=FALSE</formula>
    </cfRule>
  </conditionalFormatting>
  <conditionalFormatting sqref="E8">
    <cfRule type="expression" dxfId="9" priority="8">
      <formula>F8=FALSE</formula>
    </cfRule>
  </conditionalFormatting>
  <conditionalFormatting sqref="D8">
    <cfRule type="expression" dxfId="8" priority="2">
      <formula>F8=FALSE</formula>
    </cfRule>
  </conditionalFormatting>
  <conditionalFormatting sqref="D9">
    <cfRule type="expression" dxfId="7" priority="3">
      <formula>F9=FALSE</formula>
    </cfRule>
  </conditionalFormatting>
  <conditionalFormatting sqref="D10">
    <cfRule type="expression" dxfId="6" priority="4">
      <formula>F10=FALSE</formula>
    </cfRule>
  </conditionalFormatting>
  <conditionalFormatting sqref="D11">
    <cfRule type="expression" dxfId="5" priority="5">
      <formula>F11=FALSE</formula>
    </cfRule>
  </conditionalFormatting>
  <conditionalFormatting sqref="D12">
    <cfRule type="expression" dxfId="4" priority="6">
      <formula>F12=FALSE</formula>
    </cfRule>
  </conditionalFormatting>
  <conditionalFormatting sqref="E9">
    <cfRule type="expression" dxfId="3" priority="9">
      <formula>F9=FALSE</formula>
    </cfRule>
  </conditionalFormatting>
  <conditionalFormatting sqref="E10">
    <cfRule type="expression" dxfId="2" priority="10">
      <formula>F10=FALSE</formula>
    </cfRule>
  </conditionalFormatting>
  <conditionalFormatting sqref="E11">
    <cfRule type="expression" dxfId="1" priority="11">
      <formula>F11=FALSE</formula>
    </cfRule>
  </conditionalFormatting>
  <conditionalFormatting sqref="E12">
    <cfRule type="expression" dxfId="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4322-07E7-FD42-9B4C-1F4929F83DBA}">
  <sheetPr codeName="Tabelle12"/>
  <dimension ref="A1:F36"/>
  <sheetViews>
    <sheetView workbookViewId="0">
      <selection activeCell="G30" sqref="G30"/>
    </sheetView>
  </sheetViews>
  <sheetFormatPr baseColWidth="10" defaultRowHeight="16" x14ac:dyDescent="0.2"/>
  <cols>
    <col min="1" max="1" width="16.6640625" bestFit="1" customWidth="1"/>
    <col min="2" max="2" width="14.6640625" customWidth="1"/>
    <col min="4" max="4" width="12.83203125" bestFit="1" customWidth="1"/>
  </cols>
  <sheetData>
    <row r="1" spans="1:6" x14ac:dyDescent="0.2">
      <c r="A1" t="s">
        <v>91</v>
      </c>
      <c r="B1" t="s">
        <v>52</v>
      </c>
      <c r="C1" t="s">
        <v>53</v>
      </c>
      <c r="D1" t="s">
        <v>18</v>
      </c>
      <c r="E1" t="s">
        <v>3</v>
      </c>
      <c r="F1" t="s">
        <v>60</v>
      </c>
    </row>
    <row r="2" spans="1:6" x14ac:dyDescent="0.2">
      <c r="A2">
        <v>1</v>
      </c>
      <c r="B2" t="s">
        <v>33</v>
      </c>
      <c r="C2" t="s">
        <v>34</v>
      </c>
      <c r="D2" cm="1">
        <f t="array" aca="1" ref="D2" ca="1">INDIRECT("Gesamt!"&amp;C2&amp;"2")</f>
        <v>0</v>
      </c>
      <c r="E2" t="str" cm="1">
        <f t="array" aca="1" ref="E2" ca="1">IF(D2=0,"",INDIRECT("Gesamt!"&amp;B2&amp;"43"))</f>
        <v/>
      </c>
      <c r="F2" t="e">
        <f ca="1">_xlfn.PERCENTRANK.INC($E$2:$E$14,E2)</f>
        <v>#VALUE!</v>
      </c>
    </row>
    <row r="3" spans="1:6" x14ac:dyDescent="0.2">
      <c r="A3">
        <v>2</v>
      </c>
      <c r="B3" t="s">
        <v>35</v>
      </c>
      <c r="C3" t="s">
        <v>36</v>
      </c>
      <c r="D3" cm="1">
        <f t="array" aca="1" ref="D3" ca="1">INDIRECT("Gesamt!"&amp;C3&amp;"2")</f>
        <v>0</v>
      </c>
      <c r="E3" t="str" cm="1">
        <f t="array" aca="1" ref="E3" ca="1">IF(D3=0,"",INDIRECT("Gesamt!"&amp;B3&amp;"43"))</f>
        <v/>
      </c>
      <c r="F3" t="e">
        <f t="shared" ref="F3:F14" ca="1" si="0">_xlfn.PERCENTRANK.INC($E$2:$E$14,E3)</f>
        <v>#VALUE!</v>
      </c>
    </row>
    <row r="4" spans="1:6" x14ac:dyDescent="0.2">
      <c r="A4">
        <v>3</v>
      </c>
      <c r="B4" t="s">
        <v>37</v>
      </c>
      <c r="C4" t="s">
        <v>38</v>
      </c>
      <c r="D4" cm="1">
        <f t="array" aca="1" ref="D4" ca="1">INDIRECT("Gesamt!"&amp;C4&amp;"2")</f>
        <v>0</v>
      </c>
      <c r="E4" t="str" cm="1">
        <f t="array" aca="1" ref="E4" ca="1">IF(D4=0,"",INDIRECT("Gesamt!"&amp;B4&amp;"43"))</f>
        <v/>
      </c>
      <c r="F4" t="e">
        <f t="shared" ca="1" si="0"/>
        <v>#VALUE!</v>
      </c>
    </row>
    <row r="5" spans="1:6" x14ac:dyDescent="0.2">
      <c r="A5">
        <v>4</v>
      </c>
      <c r="B5" t="s">
        <v>39</v>
      </c>
      <c r="C5" t="s">
        <v>40</v>
      </c>
      <c r="D5" cm="1">
        <f t="array" aca="1" ref="D5" ca="1">INDIRECT("Gesamt!"&amp;C5&amp;"2")</f>
        <v>0</v>
      </c>
      <c r="E5" t="str" cm="1">
        <f t="array" aca="1" ref="E5" ca="1">IF(D5=0,"",INDIRECT("Gesamt!"&amp;B5&amp;"43"))</f>
        <v/>
      </c>
      <c r="F5" t="e">
        <f t="shared" ca="1" si="0"/>
        <v>#VALUE!</v>
      </c>
    </row>
    <row r="6" spans="1:6" x14ac:dyDescent="0.2">
      <c r="A6">
        <v>5</v>
      </c>
      <c r="B6" t="s">
        <v>41</v>
      </c>
      <c r="C6" t="s">
        <v>42</v>
      </c>
      <c r="D6" cm="1">
        <f t="array" aca="1" ref="D6" ca="1">INDIRECT("Gesamt!"&amp;C6&amp;"2")</f>
        <v>0</v>
      </c>
      <c r="E6" t="str" cm="1">
        <f t="array" aca="1" ref="E6" ca="1">IF(D6=0,"",INDIRECT("Gesamt!"&amp;B6&amp;"43"))</f>
        <v/>
      </c>
      <c r="F6" t="e">
        <f t="shared" ca="1" si="0"/>
        <v>#VALUE!</v>
      </c>
    </row>
    <row r="7" spans="1:6" x14ac:dyDescent="0.2">
      <c r="A7">
        <v>6</v>
      </c>
      <c r="B7" t="s">
        <v>43</v>
      </c>
      <c r="C7" t="s">
        <v>44</v>
      </c>
      <c r="D7" cm="1">
        <f t="array" aca="1" ref="D7" ca="1">INDIRECT("Gesamt!"&amp;C7&amp;"2")</f>
        <v>0</v>
      </c>
      <c r="E7" t="str" cm="1">
        <f t="array" aca="1" ref="E7" ca="1">IF(D7=0,"",INDIRECT("Gesamt!"&amp;B7&amp;"43"))</f>
        <v/>
      </c>
      <c r="F7" t="e">
        <f t="shared" ca="1" si="0"/>
        <v>#VALUE!</v>
      </c>
    </row>
    <row r="8" spans="1:6" x14ac:dyDescent="0.2">
      <c r="A8">
        <v>7</v>
      </c>
      <c r="B8" t="s">
        <v>54</v>
      </c>
      <c r="C8" t="s">
        <v>55</v>
      </c>
      <c r="D8" cm="1">
        <f t="array" aca="1" ref="D8" ca="1">INDIRECT("Gesamt!"&amp;C8&amp;"2")</f>
        <v>0</v>
      </c>
      <c r="E8" t="str" cm="1">
        <f t="array" aca="1" ref="E8" ca="1">IF(D8=0,"",INDIRECT("Gesamt!"&amp;B8&amp;"43"))</f>
        <v/>
      </c>
      <c r="F8" t="e">
        <f t="shared" ca="1" si="0"/>
        <v>#VALUE!</v>
      </c>
    </row>
    <row r="9" spans="1:6" x14ac:dyDescent="0.2">
      <c r="A9">
        <v>8</v>
      </c>
      <c r="B9" t="s">
        <v>56</v>
      </c>
      <c r="C9" t="s">
        <v>57</v>
      </c>
      <c r="D9" cm="1">
        <f t="array" aca="1" ref="D9" ca="1">INDIRECT("Gesamt!"&amp;C9&amp;"2")</f>
        <v>0</v>
      </c>
      <c r="E9" t="str" cm="1">
        <f t="array" aca="1" ref="E9" ca="1">IF(D9=0,"",INDIRECT("Gesamt!"&amp;B9&amp;"43"))</f>
        <v/>
      </c>
      <c r="F9" t="e">
        <f t="shared" ca="1" si="0"/>
        <v>#VALUE!</v>
      </c>
    </row>
    <row r="10" spans="1:6" x14ac:dyDescent="0.2">
      <c r="A10">
        <v>9</v>
      </c>
      <c r="B10" t="s">
        <v>58</v>
      </c>
      <c r="C10" t="s">
        <v>59</v>
      </c>
      <c r="D10" cm="1">
        <f t="array" aca="1" ref="D10" ca="1">INDIRECT("Gesamt!"&amp;C10&amp;"2")</f>
        <v>0</v>
      </c>
      <c r="E10" t="str" cm="1">
        <f t="array" aca="1" ref="E10" ca="1">IF(D10=0,"",INDIRECT("Gesamt!"&amp;B10&amp;"43"))</f>
        <v/>
      </c>
      <c r="F10" t="e">
        <f t="shared" ca="1" si="0"/>
        <v>#VALUE!</v>
      </c>
    </row>
    <row r="11" spans="1:6" x14ac:dyDescent="0.2">
      <c r="A11">
        <v>10</v>
      </c>
      <c r="B11" t="s">
        <v>73</v>
      </c>
      <c r="C11" t="s">
        <v>74</v>
      </c>
      <c r="D11" cm="1">
        <f t="array" aca="1" ref="D11" ca="1">INDIRECT("Gesamt!"&amp;C11&amp;"2")</f>
        <v>0</v>
      </c>
      <c r="E11" t="str" cm="1">
        <f t="array" aca="1" ref="E11" ca="1">IF(D11=0,"",INDIRECT("Gesamt!"&amp;B11&amp;"43"))</f>
        <v/>
      </c>
      <c r="F11" t="e">
        <f t="shared" ca="1" si="0"/>
        <v>#VALUE!</v>
      </c>
    </row>
    <row r="12" spans="1:6" x14ac:dyDescent="0.2">
      <c r="A12">
        <v>11</v>
      </c>
      <c r="B12" t="s">
        <v>75</v>
      </c>
      <c r="C12" t="s">
        <v>76</v>
      </c>
      <c r="D12" cm="1">
        <f t="array" aca="1" ref="D12" ca="1">INDIRECT("Gesamt!"&amp;C12&amp;"2")</f>
        <v>0</v>
      </c>
      <c r="E12" t="str" cm="1">
        <f t="array" aca="1" ref="E12" ca="1">IF(D12=0,"",INDIRECT("Gesamt!"&amp;B12&amp;"43"))</f>
        <v/>
      </c>
      <c r="F12" t="e">
        <f t="shared" ca="1" si="0"/>
        <v>#VALUE!</v>
      </c>
    </row>
    <row r="13" spans="1:6" x14ac:dyDescent="0.2">
      <c r="A13">
        <v>12</v>
      </c>
      <c r="B13" t="s">
        <v>77</v>
      </c>
      <c r="C13" t="s">
        <v>78</v>
      </c>
      <c r="D13" cm="1">
        <f t="array" aca="1" ref="D13" ca="1">INDIRECT("Gesamt!"&amp;C13&amp;"2")</f>
        <v>0</v>
      </c>
      <c r="E13" t="str" cm="1">
        <f t="array" aca="1" ref="E13" ca="1">IF(D13=0,"",INDIRECT("Gesamt!"&amp;B13&amp;"43"))</f>
        <v/>
      </c>
      <c r="F13" t="e">
        <f t="shared" ca="1" si="0"/>
        <v>#VALUE!</v>
      </c>
    </row>
    <row r="14" spans="1:6" x14ac:dyDescent="0.2">
      <c r="A14">
        <v>13</v>
      </c>
      <c r="B14" t="s">
        <v>79</v>
      </c>
      <c r="C14" t="s">
        <v>80</v>
      </c>
      <c r="D14" cm="1">
        <f t="array" aca="1" ref="D14" ca="1">INDIRECT("Gesamt!"&amp;C14&amp;"2")</f>
        <v>0</v>
      </c>
      <c r="E14" t="str" cm="1">
        <f t="array" aca="1" ref="E14" ca="1">IF(D14=0,"",INDIRECT("Gesamt!"&amp;B14&amp;"43"))</f>
        <v/>
      </c>
      <c r="F14" t="e">
        <f t="shared" ca="1" si="0"/>
        <v>#VALUE!</v>
      </c>
    </row>
    <row r="31" spans="4:5" x14ac:dyDescent="0.2">
      <c r="D31" t="s">
        <v>82</v>
      </c>
      <c r="E31" t="str">
        <f ca="1">TEXT(TODAY(),"JJJJMMTT")</f>
        <v>20220621</v>
      </c>
    </row>
    <row r="34" spans="4:5" x14ac:dyDescent="0.2">
      <c r="D34" t="s">
        <v>81</v>
      </c>
      <c r="E34" s="143" t="b">
        <v>1</v>
      </c>
    </row>
    <row r="35" spans="4:5" x14ac:dyDescent="0.2">
      <c r="E35" s="143" t="b">
        <v>0</v>
      </c>
    </row>
    <row r="36" spans="4:5" x14ac:dyDescent="0.2">
      <c r="E36" s="143" t="s">
        <v>72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14</vt:i4>
      </vt:variant>
    </vt:vector>
  </HeadingPairs>
  <TitlesOfParts>
    <vt:vector size="30" baseType="lpstr">
      <vt:lpstr>Ergebnisübersicht</vt:lpstr>
      <vt:lpstr>Gesamt</vt:lpstr>
      <vt:lpstr>G1</vt:lpstr>
      <vt:lpstr>G2</vt:lpstr>
      <vt:lpstr>G3</vt:lpstr>
      <vt:lpstr>G4</vt:lpstr>
      <vt:lpstr>G5</vt:lpstr>
      <vt:lpstr>G6</vt:lpstr>
      <vt:lpstr>G7</vt:lpstr>
      <vt:lpstr>G8</vt:lpstr>
      <vt:lpstr>G9</vt:lpstr>
      <vt:lpstr>G10</vt:lpstr>
      <vt:lpstr>G11</vt:lpstr>
      <vt:lpstr>G12</vt:lpstr>
      <vt:lpstr>G13</vt:lpstr>
      <vt:lpstr>Settings</vt:lpstr>
      <vt:lpstr>'G1'!Druckbereich</vt:lpstr>
      <vt:lpstr>'G10'!Druckbereich</vt:lpstr>
      <vt:lpstr>'G11'!Druckbereich</vt:lpstr>
      <vt:lpstr>'G12'!Druckbereich</vt:lpstr>
      <vt:lpstr>'G13'!Druckbereich</vt:lpstr>
      <vt:lpstr>'G2'!Druckbereich</vt:lpstr>
      <vt:lpstr>'G3'!Druckbereich</vt:lpstr>
      <vt:lpstr>'G4'!Druckbereich</vt:lpstr>
      <vt:lpstr>'G5'!Druckbereich</vt:lpstr>
      <vt:lpstr>'G6'!Druckbereich</vt:lpstr>
      <vt:lpstr>'G7'!Druckbereich</vt:lpstr>
      <vt:lpstr>'G8'!Druckbereich</vt:lpstr>
      <vt:lpstr>'G9'!Druckbereich</vt:lpstr>
      <vt:lpstr>Endergebnis_gerundet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2022-03-13T22:32:34Z</cp:lastPrinted>
  <dcterms:created xsi:type="dcterms:W3CDTF">2021-05-11T07:02:53Z</dcterms:created>
  <dcterms:modified xsi:type="dcterms:W3CDTF">2022-06-21T15:31:59Z</dcterms:modified>
</cp:coreProperties>
</file>