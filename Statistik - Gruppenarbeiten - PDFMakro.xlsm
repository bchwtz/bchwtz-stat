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DieseArbeitsmappe" defaultThemeVersion="166925"/>
  <mc:AlternateContent xmlns:mc="http://schemas.openxmlformats.org/markup-compatibility/2006">
    <mc:Choice Requires="x15">
      <x15ac:absPath xmlns:x15ac="http://schemas.microsoft.com/office/spreadsheetml/2010/11/ac" url="/Users/benjamin/sciebo/stat-gruppenarbeiten/"/>
    </mc:Choice>
  </mc:AlternateContent>
  <xr:revisionPtr revIDLastSave="0" documentId="13_ncr:1_{6C2224EE-3AB1-274E-971B-F49A6C914779}" xr6:coauthVersionLast="47" xr6:coauthVersionMax="47" xr10:uidLastSave="{00000000-0000-0000-0000-000000000000}"/>
  <bookViews>
    <workbookView xWindow="-29000" yWindow="-4100" windowWidth="26860" windowHeight="21480" activeTab="2" xr2:uid="{511E983D-421B-B344-89DD-14317EEA68B8}"/>
  </bookViews>
  <sheets>
    <sheet name="Checkliste" sheetId="2" r:id="rId1"/>
    <sheet name="Ergebnis" sheetId="28" r:id="rId2"/>
    <sheet name="Gesamt" sheetId="1" r:id="rId3"/>
    <sheet name="Settings" sheetId="17" r:id="rId4"/>
    <sheet name="G1" sheetId="40" r:id="rId5"/>
    <sheet name="G2" sheetId="41" r:id="rId6"/>
    <sheet name="G3" sheetId="42" r:id="rId7"/>
    <sheet name="G4" sheetId="43" r:id="rId8"/>
    <sheet name="G5" sheetId="44" r:id="rId9"/>
    <sheet name="G6" sheetId="45" r:id="rId10"/>
    <sheet name="G7" sheetId="46" r:id="rId11"/>
    <sheet name="G8" sheetId="47" r:id="rId12"/>
    <sheet name="G9" sheetId="48" r:id="rId13"/>
    <sheet name="G10" sheetId="49" r:id="rId14"/>
  </sheets>
  <definedNames>
    <definedName name="_xlnm._FilterDatabase" localSheetId="1" hidden="1">Ergebnis!$A$1:$F$79</definedName>
    <definedName name="_xlnm.Print_Area" localSheetId="4">'G1'!$B$2:$E$47</definedName>
    <definedName name="_xlnm.Print_Area" localSheetId="13">'G10'!$B$2:$E$47</definedName>
    <definedName name="_xlnm.Print_Area" localSheetId="5">'G2'!$B$2:$E$47</definedName>
    <definedName name="_xlnm.Print_Area" localSheetId="6">'G3'!$B$2:$E$47</definedName>
    <definedName name="_xlnm.Print_Area" localSheetId="7">'G4'!$B$2:$E$47</definedName>
    <definedName name="_xlnm.Print_Area" localSheetId="8">'G5'!$B$2:$E$47</definedName>
    <definedName name="_xlnm.Print_Area" localSheetId="9">'G6'!$B$2:$E$47</definedName>
    <definedName name="_xlnm.Print_Area" localSheetId="10">'G7'!$B$2:$E$47</definedName>
    <definedName name="_xlnm.Print_Area" localSheetId="11">'G8'!$B$2:$E$47</definedName>
    <definedName name="_xlnm.Print_Area" localSheetId="12">'G9'!$B$2:$E$47</definedName>
    <definedName name="Endergebnis_gerundet">Settings!$E$2:$E$100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9" l="1"/>
  <c r="A3" i="49"/>
  <c r="F1" i="49"/>
  <c r="E1" i="49"/>
  <c r="D1" i="49"/>
  <c r="B3" i="48"/>
  <c r="A3" i="48"/>
  <c r="F1" i="48"/>
  <c r="E1" i="48"/>
  <c r="D1" i="48"/>
  <c r="B3" i="47"/>
  <c r="A3" i="47"/>
  <c r="F1" i="47"/>
  <c r="E1" i="47"/>
  <c r="D1" i="47"/>
  <c r="B3" i="46"/>
  <c r="A3" i="46"/>
  <c r="F1" i="46"/>
  <c r="E1" i="46"/>
  <c r="D1" i="46"/>
  <c r="B3" i="45"/>
  <c r="A3" i="45"/>
  <c r="F1" i="45"/>
  <c r="E1" i="45"/>
  <c r="D1" i="45"/>
  <c r="B3" i="44"/>
  <c r="A3" i="44"/>
  <c r="F1" i="44"/>
  <c r="E1" i="44"/>
  <c r="D1" i="44"/>
  <c r="B3" i="43"/>
  <c r="A3" i="43"/>
  <c r="F1" i="43"/>
  <c r="E1" i="43"/>
  <c r="D1" i="43"/>
  <c r="B3" i="42"/>
  <c r="A3" i="42"/>
  <c r="F1" i="42"/>
  <c r="E1" i="42"/>
  <c r="D1" i="42"/>
  <c r="B3" i="41"/>
  <c r="A3" i="41"/>
  <c r="F1" i="41"/>
  <c r="E1" i="41"/>
  <c r="D1" i="41"/>
  <c r="F1" i="40"/>
  <c r="E1" i="40"/>
  <c r="D1" i="40"/>
  <c r="B3" i="40"/>
  <c r="A3" i="40"/>
  <c r="E3" i="28"/>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41" i="28"/>
  <c r="E42" i="28"/>
  <c r="E43" i="28"/>
  <c r="E44" i="28"/>
  <c r="E45" i="28"/>
  <c r="E46" i="28"/>
  <c r="E47" i="28"/>
  <c r="E48" i="28"/>
  <c r="E49" i="28"/>
  <c r="E50" i="28"/>
  <c r="E51" i="28"/>
  <c r="E52" i="28"/>
  <c r="E53" i="28"/>
  <c r="E54" i="28"/>
  <c r="E55" i="28"/>
  <c r="E56" i="28"/>
  <c r="E57" i="28"/>
  <c r="E58" i="28"/>
  <c r="E59" i="28"/>
  <c r="E60" i="28"/>
  <c r="E61" i="28"/>
  <c r="E62" i="28"/>
  <c r="E63" i="28"/>
  <c r="E64" i="28"/>
  <c r="E65" i="28"/>
  <c r="E66" i="28"/>
  <c r="E67" i="28"/>
  <c r="E68" i="28"/>
  <c r="E69" i="28"/>
  <c r="E70" i="28"/>
  <c r="E71" i="28"/>
  <c r="E72" i="28"/>
  <c r="E73" i="28"/>
  <c r="E74" i="28"/>
  <c r="E75" i="28"/>
  <c r="E76" i="28"/>
  <c r="E77" i="28"/>
  <c r="E78" i="28"/>
  <c r="E79" i="28"/>
  <c r="E2" i="28"/>
  <c r="D75" i="28"/>
  <c r="D76" i="28"/>
  <c r="D77" i="28"/>
  <c r="D78" i="28"/>
  <c r="D79" i="28"/>
  <c r="D69" i="28"/>
  <c r="D70" i="28"/>
  <c r="D71" i="28"/>
  <c r="D72" i="28"/>
  <c r="D73" i="28"/>
  <c r="D63" i="28"/>
  <c r="D64" i="28"/>
  <c r="D65" i="28"/>
  <c r="D66" i="28"/>
  <c r="D67" i="28"/>
  <c r="D57" i="28"/>
  <c r="D58" i="28"/>
  <c r="D59" i="28"/>
  <c r="D60" i="28"/>
  <c r="D61" i="28"/>
  <c r="D51" i="28"/>
  <c r="D52" i="28"/>
  <c r="D53" i="28"/>
  <c r="D54" i="28"/>
  <c r="D55" i="28"/>
  <c r="D45" i="28"/>
  <c r="D46" i="28"/>
  <c r="D47" i="28"/>
  <c r="D48" i="28"/>
  <c r="D49" i="28"/>
  <c r="D39" i="28"/>
  <c r="D40" i="28"/>
  <c r="D41" i="28"/>
  <c r="D42" i="28"/>
  <c r="D43" i="28"/>
  <c r="D33" i="28"/>
  <c r="D34" i="28"/>
  <c r="D35" i="28"/>
  <c r="D36" i="28"/>
  <c r="D37" i="28"/>
  <c r="D27" i="28"/>
  <c r="D28" i="28"/>
  <c r="D29" i="28"/>
  <c r="D30" i="28"/>
  <c r="D31" i="28"/>
  <c r="D74" i="28"/>
  <c r="D68" i="28"/>
  <c r="D62" i="28"/>
  <c r="D56" i="28"/>
  <c r="D50" i="28"/>
  <c r="D44" i="28"/>
  <c r="D38" i="28"/>
  <c r="D32" i="28"/>
  <c r="D26" i="28"/>
  <c r="D21" i="28"/>
  <c r="D22" i="28"/>
  <c r="D23" i="28"/>
  <c r="D24" i="28"/>
  <c r="D25" i="28"/>
  <c r="D20" i="28"/>
  <c r="D15" i="28"/>
  <c r="D16" i="28"/>
  <c r="D17" i="28"/>
  <c r="D18" i="28"/>
  <c r="D19" i="28"/>
  <c r="D14" i="28"/>
  <c r="D9" i="28"/>
  <c r="D10" i="28"/>
  <c r="D11" i="28"/>
  <c r="D12" i="28"/>
  <c r="D13" i="28"/>
  <c r="D8" i="28"/>
  <c r="D3" i="28"/>
  <c r="D4" i="28"/>
  <c r="D5" i="28"/>
  <c r="D6" i="28"/>
  <c r="D7" i="28"/>
  <c r="D2" i="28"/>
  <c r="A75" i="28"/>
  <c r="B75" i="28"/>
  <c r="C75" i="28"/>
  <c r="F75" i="28" s="1"/>
  <c r="A76" i="28"/>
  <c r="B76" i="28"/>
  <c r="C76" i="28"/>
  <c r="F76" i="28" s="1"/>
  <c r="A77" i="28"/>
  <c r="B77" i="28"/>
  <c r="C77" i="28"/>
  <c r="F77" i="28" s="1"/>
  <c r="A78" i="28"/>
  <c r="B78" i="28"/>
  <c r="C78" i="28"/>
  <c r="F78" i="28" s="1"/>
  <c r="A79" i="28"/>
  <c r="B79" i="28"/>
  <c r="C79" i="28"/>
  <c r="F79" i="28" s="1"/>
  <c r="B74" i="28"/>
  <c r="C74" i="28"/>
  <c r="F74" i="28" s="1"/>
  <c r="A74" i="28"/>
  <c r="A69" i="28"/>
  <c r="B69" i="28"/>
  <c r="C69" i="28"/>
  <c r="F69" i="28" s="1"/>
  <c r="A70" i="28"/>
  <c r="B70" i="28"/>
  <c r="C70" i="28"/>
  <c r="F70" i="28" s="1"/>
  <c r="A71" i="28"/>
  <c r="B71" i="28"/>
  <c r="C71" i="28"/>
  <c r="F71" i="28" s="1"/>
  <c r="A72" i="28"/>
  <c r="B72" i="28"/>
  <c r="C72" i="28"/>
  <c r="F72" i="28" s="1"/>
  <c r="A73" i="28"/>
  <c r="B73" i="28"/>
  <c r="C73" i="28"/>
  <c r="F73" i="28" s="1"/>
  <c r="B68" i="28"/>
  <c r="C68" i="28"/>
  <c r="F68" i="28" s="1"/>
  <c r="A68" i="28"/>
  <c r="A63" i="28"/>
  <c r="B63" i="28"/>
  <c r="C63" i="28"/>
  <c r="F63" i="28" s="1"/>
  <c r="A64" i="28"/>
  <c r="B64" i="28"/>
  <c r="C64" i="28"/>
  <c r="F64" i="28" s="1"/>
  <c r="A65" i="28"/>
  <c r="B65" i="28"/>
  <c r="C65" i="28"/>
  <c r="F65" i="28" s="1"/>
  <c r="A66" i="28"/>
  <c r="B66" i="28"/>
  <c r="C66" i="28"/>
  <c r="F66" i="28" s="1"/>
  <c r="A67" i="28"/>
  <c r="B67" i="28"/>
  <c r="C67" i="28"/>
  <c r="F67" i="28" s="1"/>
  <c r="B62" i="28"/>
  <c r="C62" i="28"/>
  <c r="F62" i="28" s="1"/>
  <c r="A62" i="28"/>
  <c r="A57" i="28"/>
  <c r="B57" i="28"/>
  <c r="C57" i="28"/>
  <c r="F57" i="28" s="1"/>
  <c r="A58" i="28"/>
  <c r="B58" i="28"/>
  <c r="C58" i="28"/>
  <c r="F58" i="28" s="1"/>
  <c r="A59" i="28"/>
  <c r="B59" i="28"/>
  <c r="C59" i="28"/>
  <c r="F59" i="28" s="1"/>
  <c r="A60" i="28"/>
  <c r="B60" i="28"/>
  <c r="C60" i="28"/>
  <c r="F60" i="28" s="1"/>
  <c r="A61" i="28"/>
  <c r="B61" i="28"/>
  <c r="C61" i="28"/>
  <c r="F61" i="28" s="1"/>
  <c r="B56" i="28"/>
  <c r="C56" i="28"/>
  <c r="F56" i="28" s="1"/>
  <c r="A56" i="28"/>
  <c r="A51" i="28"/>
  <c r="B51" i="28"/>
  <c r="C51" i="28"/>
  <c r="F51" i="28" s="1"/>
  <c r="A52" i="28"/>
  <c r="B52" i="28"/>
  <c r="C52" i="28"/>
  <c r="F52" i="28" s="1"/>
  <c r="A53" i="28"/>
  <c r="B53" i="28"/>
  <c r="C53" i="28"/>
  <c r="F53" i="28" s="1"/>
  <c r="A54" i="28"/>
  <c r="B54" i="28"/>
  <c r="C54" i="28"/>
  <c r="F54" i="28" s="1"/>
  <c r="A55" i="28"/>
  <c r="B55" i="28"/>
  <c r="C55" i="28"/>
  <c r="F55" i="28" s="1"/>
  <c r="B50" i="28"/>
  <c r="C50" i="28"/>
  <c r="F50" i="28" s="1"/>
  <c r="A50" i="28"/>
  <c r="A45" i="28"/>
  <c r="B45" i="28"/>
  <c r="C45" i="28"/>
  <c r="F45" i="28" s="1"/>
  <c r="A46" i="28"/>
  <c r="B46" i="28"/>
  <c r="C46" i="28"/>
  <c r="F46" i="28" s="1"/>
  <c r="A47" i="28"/>
  <c r="B47" i="28"/>
  <c r="C47" i="28"/>
  <c r="F47" i="28" s="1"/>
  <c r="A48" i="28"/>
  <c r="B48" i="28"/>
  <c r="C48" i="28"/>
  <c r="F48" i="28" s="1"/>
  <c r="A49" i="28"/>
  <c r="B49" i="28"/>
  <c r="C49" i="28"/>
  <c r="F49" i="28" s="1"/>
  <c r="B44" i="28"/>
  <c r="C44" i="28"/>
  <c r="F44" i="28" s="1"/>
  <c r="A44" i="28"/>
  <c r="A43" i="28"/>
  <c r="B43" i="28"/>
  <c r="C43" i="28"/>
  <c r="F43" i="28" s="1"/>
  <c r="A39" i="28"/>
  <c r="B39" i="28"/>
  <c r="C39" i="28"/>
  <c r="F39" i="28" s="1"/>
  <c r="A40" i="28"/>
  <c r="B40" i="28"/>
  <c r="C40" i="28"/>
  <c r="F40" i="28" s="1"/>
  <c r="A41" i="28"/>
  <c r="B41" i="28"/>
  <c r="C41" i="28"/>
  <c r="F41" i="28" s="1"/>
  <c r="A42" i="28"/>
  <c r="B42" i="28"/>
  <c r="C42" i="28"/>
  <c r="F42" i="28" s="1"/>
  <c r="B38" i="28"/>
  <c r="C38" i="28"/>
  <c r="F38" i="28" s="1"/>
  <c r="A38" i="28"/>
  <c r="A33" i="28"/>
  <c r="B33" i="28"/>
  <c r="C33" i="28"/>
  <c r="F33" i="28" s="1"/>
  <c r="A34" i="28"/>
  <c r="B34" i="28"/>
  <c r="C34" i="28"/>
  <c r="F34" i="28" s="1"/>
  <c r="A35" i="28"/>
  <c r="B35" i="28"/>
  <c r="C35" i="28"/>
  <c r="F35" i="28" s="1"/>
  <c r="A36" i="28"/>
  <c r="B36" i="28"/>
  <c r="C36" i="28"/>
  <c r="F36" i="28" s="1"/>
  <c r="A37" i="28"/>
  <c r="B37" i="28"/>
  <c r="C37" i="28"/>
  <c r="F37" i="28" s="1"/>
  <c r="B32" i="28"/>
  <c r="C32" i="28"/>
  <c r="F32" i="28" s="1"/>
  <c r="A32" i="28"/>
  <c r="A27" i="28"/>
  <c r="B27" i="28"/>
  <c r="C27" i="28"/>
  <c r="F27" i="28" s="1"/>
  <c r="A28" i="28"/>
  <c r="B28" i="28"/>
  <c r="C28" i="28"/>
  <c r="F28" i="28" s="1"/>
  <c r="A29" i="28"/>
  <c r="B29" i="28"/>
  <c r="C29" i="28"/>
  <c r="F29" i="28" s="1"/>
  <c r="A30" i="28"/>
  <c r="B30" i="28"/>
  <c r="C30" i="28"/>
  <c r="F30" i="28" s="1"/>
  <c r="A31" i="28"/>
  <c r="B31" i="28"/>
  <c r="C31" i="28"/>
  <c r="F31" i="28" s="1"/>
  <c r="B26" i="28"/>
  <c r="C26" i="28"/>
  <c r="F26" i="28" s="1"/>
  <c r="A26" i="28"/>
  <c r="C2" i="28"/>
  <c r="F2" i="28" s="1"/>
  <c r="C3" i="28"/>
  <c r="F3" i="28" s="1"/>
  <c r="C4" i="28"/>
  <c r="F4" i="28" s="1"/>
  <c r="C5" i="28"/>
  <c r="F5" i="28" s="1"/>
  <c r="C6" i="28"/>
  <c r="F6" i="28" s="1"/>
  <c r="C7" i="28"/>
  <c r="F7" i="28" s="1"/>
  <c r="C8" i="28"/>
  <c r="F8" i="28" s="1"/>
  <c r="C9" i="28"/>
  <c r="F9" i="28" s="1"/>
  <c r="C10" i="28"/>
  <c r="F10" i="28" s="1"/>
  <c r="C11" i="28"/>
  <c r="F11" i="28" s="1"/>
  <c r="C12" i="28"/>
  <c r="F12" i="28" s="1"/>
  <c r="C13" i="28"/>
  <c r="F13" i="28" s="1"/>
  <c r="C14" i="28"/>
  <c r="F14" i="28" s="1"/>
  <c r="C15" i="28"/>
  <c r="F15" i="28" s="1"/>
  <c r="C16" i="28"/>
  <c r="F16" i="28" s="1"/>
  <c r="C17" i="28"/>
  <c r="F17" i="28" s="1"/>
  <c r="C18" i="28"/>
  <c r="F18" i="28" s="1"/>
  <c r="C19" i="28"/>
  <c r="F19" i="28" s="1"/>
  <c r="C20" i="28"/>
  <c r="F20" i="28" s="1"/>
  <c r="C21" i="28"/>
  <c r="F21" i="28" s="1"/>
  <c r="C22" i="28"/>
  <c r="F22" i="28" s="1"/>
  <c r="C23" i="28"/>
  <c r="F23" i="28" s="1"/>
  <c r="C24" i="28"/>
  <c r="F24" i="28" s="1"/>
  <c r="C25" i="28"/>
  <c r="F25" i="28" s="1"/>
  <c r="A21" i="28"/>
  <c r="B21" i="28"/>
  <c r="A22" i="28"/>
  <c r="B22" i="28"/>
  <c r="A23" i="28"/>
  <c r="B23" i="28"/>
  <c r="A24" i="28"/>
  <c r="B24" i="28"/>
  <c r="A25" i="28"/>
  <c r="B25" i="28"/>
  <c r="B20" i="28"/>
  <c r="A20" i="28"/>
  <c r="A15" i="28"/>
  <c r="B15" i="28"/>
  <c r="A16" i="28"/>
  <c r="B16" i="28"/>
  <c r="A17" i="28"/>
  <c r="B17" i="28"/>
  <c r="A18" i="28"/>
  <c r="B18" i="28"/>
  <c r="A19" i="28"/>
  <c r="B19" i="28"/>
  <c r="B14" i="28"/>
  <c r="A14" i="28"/>
  <c r="A9" i="28"/>
  <c r="B9" i="28"/>
  <c r="A10" i="28"/>
  <c r="B10" i="28"/>
  <c r="A11" i="28"/>
  <c r="B11" i="28"/>
  <c r="A12" i="28"/>
  <c r="B12" i="28"/>
  <c r="A13" i="28"/>
  <c r="B13" i="28"/>
  <c r="B8" i="28"/>
  <c r="A8" i="28"/>
  <c r="B3" i="28"/>
  <c r="B4" i="28"/>
  <c r="B5" i="28"/>
  <c r="B6" i="28"/>
  <c r="B7" i="28"/>
  <c r="AN38" i="1"/>
  <c r="AN37" i="1"/>
  <c r="AN41" i="1" s="1"/>
  <c r="AO41" i="1" s="1"/>
  <c r="AO29" i="1"/>
  <c r="AN29" i="1"/>
  <c r="AN27" i="1"/>
  <c r="AN26" i="1"/>
  <c r="AN40" i="1" s="1"/>
  <c r="AO40" i="1" s="1"/>
  <c r="AO19" i="1"/>
  <c r="AN19" i="1"/>
  <c r="AN17" i="1"/>
  <c r="AN16" i="1"/>
  <c r="AN39" i="1" s="1"/>
  <c r="AO12" i="1"/>
  <c r="AN12" i="1"/>
  <c r="AN10" i="1"/>
  <c r="AN1" i="1"/>
  <c r="AK38" i="1"/>
  <c r="AK37" i="1"/>
  <c r="AK41" i="1" s="1"/>
  <c r="AL41" i="1" s="1"/>
  <c r="AL29" i="1"/>
  <c r="AK29" i="1"/>
  <c r="AK27" i="1"/>
  <c r="AK26" i="1"/>
  <c r="AK40" i="1" s="1"/>
  <c r="AL40" i="1" s="1"/>
  <c r="AL19" i="1"/>
  <c r="AK19" i="1"/>
  <c r="AK17" i="1"/>
  <c r="AK16" i="1"/>
  <c r="AK39" i="1" s="1"/>
  <c r="AL12" i="1"/>
  <c r="AK12" i="1"/>
  <c r="AK10" i="1"/>
  <c r="AK1" i="1"/>
  <c r="AH38" i="1"/>
  <c r="AH37" i="1"/>
  <c r="AH41" i="1" s="1"/>
  <c r="AI41" i="1" s="1"/>
  <c r="AI29" i="1"/>
  <c r="AH29" i="1"/>
  <c r="AH27" i="1"/>
  <c r="AH26" i="1"/>
  <c r="AH40" i="1" s="1"/>
  <c r="AI40" i="1" s="1"/>
  <c r="AI19" i="1"/>
  <c r="AH19" i="1"/>
  <c r="AH17" i="1"/>
  <c r="AH16" i="1"/>
  <c r="AH39" i="1" s="1"/>
  <c r="AI12" i="1"/>
  <c r="AH12" i="1"/>
  <c r="AH10" i="1"/>
  <c r="AH1" i="1"/>
  <c r="B2" i="28"/>
  <c r="A3" i="28"/>
  <c r="A4" i="28"/>
  <c r="A5" i="28"/>
  <c r="A6" i="28"/>
  <c r="A7" i="28"/>
  <c r="A2" i="28"/>
  <c r="G1" i="1"/>
  <c r="J1" i="1"/>
  <c r="M1" i="1"/>
  <c r="P1" i="1"/>
  <c r="S1" i="1"/>
  <c r="V1" i="1"/>
  <c r="Y1" i="1"/>
  <c r="AB1" i="1"/>
  <c r="AE1" i="1"/>
  <c r="D1" i="1"/>
  <c r="AE37" i="1"/>
  <c r="AB37" i="1"/>
  <c r="Y37" i="1"/>
  <c r="V37" i="1"/>
  <c r="S37" i="1"/>
  <c r="P37" i="1"/>
  <c r="M37" i="1"/>
  <c r="G37" i="1"/>
  <c r="D37" i="1"/>
  <c r="J37" i="1"/>
  <c r="E31" i="17"/>
  <c r="AO39" i="1" l="1"/>
  <c r="AN42" i="1"/>
  <c r="AL39" i="1"/>
  <c r="AK42" i="1"/>
  <c r="AI39" i="1"/>
  <c r="AH42" i="1"/>
  <c r="C8" i="49" a="1"/>
  <c r="C24" i="49" a="1"/>
  <c r="C5" i="49" a="1"/>
  <c r="B24" i="49" a="1"/>
  <c r="B5" i="49" a="1"/>
  <c r="C40" i="49" a="1"/>
  <c r="C32" i="49" a="1"/>
  <c r="E13" i="49" a="1"/>
  <c r="E5" i="49" a="1"/>
  <c r="B41" i="49" a="1"/>
  <c r="B33" i="49" a="1"/>
  <c r="D24" i="49" a="1"/>
  <c r="B16" i="49" a="1"/>
  <c r="C8" i="48" a="1"/>
  <c r="C24" i="48" a="1"/>
  <c r="F8" i="48" a="1"/>
  <c r="B29" i="48" a="1"/>
  <c r="B14" i="48" a="1"/>
  <c r="C45" i="48" a="1"/>
  <c r="C37" i="48" a="1"/>
  <c r="C19" i="48" a="1"/>
  <c r="C11" i="48" a="1"/>
  <c r="B47" i="48" a="1"/>
  <c r="B39" i="48" a="1"/>
  <c r="D30" i="48" a="1"/>
  <c r="D22" i="48" a="1"/>
  <c r="D13" i="48" a="1"/>
  <c r="C30" i="47" a="1"/>
  <c r="C22" i="47" a="1"/>
  <c r="C7" i="47" a="1"/>
  <c r="B29" i="47" a="1"/>
  <c r="B14" i="47" a="1"/>
  <c r="C45" i="47" a="1"/>
  <c r="C37" i="47" a="1"/>
  <c r="E7" i="47" a="1"/>
  <c r="B33" i="46" a="1"/>
  <c r="B39" i="47" a="1"/>
  <c r="C16" i="46" a="1"/>
  <c r="B24" i="45" a="1"/>
  <c r="B20" i="47" a="1"/>
  <c r="B38" i="47" a="1"/>
  <c r="C18" i="46" a="1"/>
  <c r="F10" i="47" a="1"/>
  <c r="E31" i="49" a="1"/>
  <c r="C23" i="49" a="1"/>
  <c r="B31" i="49" a="1"/>
  <c r="B23" i="49" a="1"/>
  <c r="C47" i="49" a="1"/>
  <c r="C39" i="49" a="1"/>
  <c r="E21" i="49" a="1"/>
  <c r="B12" i="49" a="1"/>
  <c r="E4" i="49" a="1"/>
  <c r="B40" i="49" a="1"/>
  <c r="B32" i="49" a="1"/>
  <c r="D23" i="49" a="1"/>
  <c r="B15" i="49" a="1"/>
  <c r="E31" i="48" a="1"/>
  <c r="C23" i="48" a="1"/>
  <c r="B8" i="48" a="1"/>
  <c r="B28" i="48" a="1"/>
  <c r="B13" i="48" a="1"/>
  <c r="C44" i="48" a="1"/>
  <c r="C36" i="48" a="1"/>
  <c r="C18" i="48" a="1"/>
  <c r="C10" i="48" a="1"/>
  <c r="B46" i="48" a="1"/>
  <c r="B38" i="48" a="1"/>
  <c r="D29" i="48" a="1"/>
  <c r="B21" i="48" a="1"/>
  <c r="E12" i="48" a="1"/>
  <c r="C29" i="47" a="1"/>
  <c r="E14" i="47" a="1"/>
  <c r="C6" i="47" a="1"/>
  <c r="B28" i="47" a="1"/>
  <c r="B13" i="47" a="1"/>
  <c r="C44" i="47" a="1"/>
  <c r="C36" i="47" a="1"/>
  <c r="C46" i="46" a="1"/>
  <c r="E31" i="46" a="1"/>
  <c r="B35" i="47" a="1"/>
  <c r="B31" i="45" a="1"/>
  <c r="B23" i="45" a="1"/>
  <c r="E13" i="47" a="1"/>
  <c r="B34" i="47" a="1"/>
  <c r="B16" i="46" a="1"/>
  <c r="B47" i="46" a="1"/>
  <c r="E21" i="47" a="1"/>
  <c r="B20" i="46" a="1"/>
  <c r="B19" i="45" a="1"/>
  <c r="B42" i="44" a="1"/>
  <c r="B34" i="44" a="1"/>
  <c r="B16" i="44" a="1"/>
  <c r="F7" i="46" a="1"/>
  <c r="C26" i="45" a="1"/>
  <c r="B34" i="46" a="1"/>
  <c r="C15" i="47" a="1"/>
  <c r="B42" i="46" a="1"/>
  <c r="B33" i="47" a="1"/>
  <c r="C6" i="45" a="1"/>
  <c r="C35" i="46" a="1"/>
  <c r="C39" i="45" a="1"/>
  <c r="B6" i="45" a="1"/>
  <c r="C28" i="44" a="1"/>
  <c r="E11" i="44" a="1"/>
  <c r="B32" i="45" a="1"/>
  <c r="B5" i="44" a="1"/>
  <c r="C6" i="46" a="1"/>
  <c r="C22" i="45" a="1"/>
  <c r="C39" i="44" a="1"/>
  <c r="E20" i="44" a="1"/>
  <c r="C32" i="46" a="1"/>
  <c r="C10" i="44" a="1"/>
  <c r="E27" i="45" a="1"/>
  <c r="B42" i="45" a="1"/>
  <c r="C9" i="45" a="1"/>
  <c r="E34" i="44" a="1"/>
  <c r="C22" i="44" a="1"/>
  <c r="D18" i="46" a="1"/>
  <c r="C47" i="45" a="1"/>
  <c r="C23" i="44" a="1"/>
  <c r="D30" i="45" a="1"/>
  <c r="E24" i="44" a="1"/>
  <c r="C27" i="44" a="1"/>
  <c r="B30" i="44" a="1"/>
  <c r="B36" i="45" a="1"/>
  <c r="E31" i="43" a="1"/>
  <c r="C23" i="43" a="1"/>
  <c r="B31" i="43" a="1"/>
  <c r="B23" i="43" a="1"/>
  <c r="C47" i="43" a="1"/>
  <c r="C39" i="43" a="1"/>
  <c r="E21" i="43" a="1"/>
  <c r="B12" i="43" a="1"/>
  <c r="E5" i="43" a="1"/>
  <c r="B41" i="43" a="1"/>
  <c r="B33" i="43" a="1"/>
  <c r="D24" i="43" a="1"/>
  <c r="B15" i="43" a="1"/>
  <c r="E31" i="42" a="1"/>
  <c r="C23" i="42" a="1"/>
  <c r="B38" i="42" a="1"/>
  <c r="E12" i="42" a="1"/>
  <c r="B47" i="42" a="1"/>
  <c r="B24" i="42" a="1"/>
  <c r="B5" i="42" a="1"/>
  <c r="C40" i="42" a="1"/>
  <c r="C32" i="42" a="1"/>
  <c r="B12" i="42" a="1"/>
  <c r="B42" i="42" a="1"/>
  <c r="D13" i="42" a="1"/>
  <c r="D22" i="42" a="1"/>
  <c r="C8" i="41" a="1"/>
  <c r="E36" i="41" a="1"/>
  <c r="B28" i="41" a="1"/>
  <c r="B13" i="41" a="1"/>
  <c r="D23" i="41" a="1"/>
  <c r="E37" i="41" a="1"/>
  <c r="C30" i="49" a="1"/>
  <c r="C22" i="49" a="1"/>
  <c r="B30" i="49" a="1"/>
  <c r="B22" i="49" a="1"/>
  <c r="C46" i="49" a="1"/>
  <c r="C38" i="49" a="1"/>
  <c r="C20" i="49" a="1"/>
  <c r="C11" i="49" a="1"/>
  <c r="B47" i="49" a="1"/>
  <c r="B39" i="49" a="1"/>
  <c r="D30" i="49" a="1"/>
  <c r="D22" i="49" a="1"/>
  <c r="D13" i="49" a="1"/>
  <c r="C30" i="48" a="1"/>
  <c r="C22" i="48" a="1"/>
  <c r="C7" i="48" a="1"/>
  <c r="B27" i="48" a="1"/>
  <c r="C12" i="48" a="1"/>
  <c r="C43" i="48" a="1"/>
  <c r="C35" i="48" a="1"/>
  <c r="C17" i="48" a="1"/>
  <c r="C9" i="48" a="1"/>
  <c r="B45" i="48" a="1"/>
  <c r="B37" i="48" a="1"/>
  <c r="D28" i="48" a="1"/>
  <c r="B20" i="48" a="1"/>
  <c r="F11" i="48" a="1"/>
  <c r="C28" i="47" a="1"/>
  <c r="C13" i="47" a="1"/>
  <c r="C5" i="47" a="1"/>
  <c r="B27" i="47" a="1"/>
  <c r="C12" i="47" a="1"/>
  <c r="C43" i="47" a="1"/>
  <c r="C35" i="47" a="1"/>
  <c r="B45" i="46" a="1"/>
  <c r="C27" i="46" a="1"/>
  <c r="B32" i="47" a="1"/>
  <c r="B30" i="45" a="1"/>
  <c r="B22" i="45" a="1"/>
  <c r="F11" i="47" a="1"/>
  <c r="E27" i="47" a="1"/>
  <c r="C13" i="46" a="1"/>
  <c r="C44" i="46" a="1"/>
  <c r="B19" i="47" a="1"/>
  <c r="B18" i="46" a="1"/>
  <c r="B8" i="45" a="1"/>
  <c r="B41" i="44" a="1"/>
  <c r="B33" i="44" a="1"/>
  <c r="B15" i="44" a="1"/>
  <c r="B47" i="45" a="1"/>
  <c r="B20" i="45" a="1"/>
  <c r="C28" i="46" a="1"/>
  <c r="B39" i="46" a="1"/>
  <c r="B36" i="46" a="1"/>
  <c r="E37" i="46" a="1"/>
  <c r="C5" i="44" a="1"/>
  <c r="B27" i="46" a="1"/>
  <c r="C37" i="45" a="1"/>
  <c r="C46" i="44" a="1"/>
  <c r="B27" i="44" a="1"/>
  <c r="C6" i="44" a="1"/>
  <c r="D25" i="45" a="1"/>
  <c r="E12" i="44" a="1"/>
  <c r="B46" i="45" a="1"/>
  <c r="C20" i="45" a="1"/>
  <c r="C35" i="44" a="1"/>
  <c r="C18" i="44" a="1"/>
  <c r="D12" i="46" a="1"/>
  <c r="B7" i="44" a="1"/>
  <c r="C23" i="45" a="1"/>
  <c r="B40" i="45" a="1"/>
  <c r="C5" i="45" a="1"/>
  <c r="C32" i="44" a="1"/>
  <c r="D20" i="44" a="1"/>
  <c r="C34" i="45" a="1"/>
  <c r="E32" i="45" a="1"/>
  <c r="D17" i="44" a="1"/>
  <c r="E6" i="44" a="1"/>
  <c r="B8" i="46" a="1"/>
  <c r="B22" i="44" a="1"/>
  <c r="C41" i="45" a="1"/>
  <c r="B5" i="45" a="1"/>
  <c r="C30" i="43" a="1"/>
  <c r="C22" i="43" a="1"/>
  <c r="B30" i="43" a="1"/>
  <c r="B22" i="43" a="1"/>
  <c r="C46" i="43" a="1"/>
  <c r="C38" i="43" a="1"/>
  <c r="C20" i="43" a="1"/>
  <c r="C11" i="43" a="1"/>
  <c r="E4" i="43" a="1"/>
  <c r="B40" i="43" a="1"/>
  <c r="B32" i="43" a="1"/>
  <c r="D23" i="43" a="1"/>
  <c r="D13" i="43" a="1"/>
  <c r="C30" i="42" a="1"/>
  <c r="C22" i="42" a="1"/>
  <c r="B35" i="42" a="1"/>
  <c r="B8" i="42" a="1"/>
  <c r="B31" i="42" a="1"/>
  <c r="B23" i="42" a="1"/>
  <c r="C47" i="42" a="1"/>
  <c r="C39" i="42" a="1"/>
  <c r="E21" i="42" a="1"/>
  <c r="C11" i="42" a="1"/>
  <c r="B39" i="42" a="1"/>
  <c r="B44" i="42" a="1"/>
  <c r="B19" i="42" a="1"/>
  <c r="D7" i="41" a="1"/>
  <c r="C24" i="41" a="1"/>
  <c r="B27" i="41" a="1"/>
  <c r="C12" i="41" a="1"/>
  <c r="B19" i="41" a="1"/>
  <c r="E35" i="41" a="1"/>
  <c r="C13" i="41" a="1"/>
  <c r="C29" i="49" a="1"/>
  <c r="E14" i="49" a="1"/>
  <c r="B29" i="49" a="1"/>
  <c r="B14" i="49" a="1"/>
  <c r="C45" i="49" a="1"/>
  <c r="C37" i="49" a="1"/>
  <c r="C19" i="49" a="1"/>
  <c r="C10" i="49" a="1"/>
  <c r="B46" i="49" a="1"/>
  <c r="B38" i="49" a="1"/>
  <c r="D29" i="49" a="1"/>
  <c r="B21" i="49" a="1"/>
  <c r="E12" i="49" a="1"/>
  <c r="C29" i="48" a="1"/>
  <c r="E14" i="48" a="1"/>
  <c r="C6" i="48" a="1"/>
  <c r="B26" i="48" a="1"/>
  <c r="B7" i="48" a="1"/>
  <c r="C42" i="48" a="1"/>
  <c r="C34" i="48" a="1"/>
  <c r="C16" i="48" a="1"/>
  <c r="D8" i="48" a="1"/>
  <c r="B44" i="48" a="1"/>
  <c r="B36" i="48" a="1"/>
  <c r="D27" i="48" a="1"/>
  <c r="B19" i="48" a="1"/>
  <c r="F10" i="48" a="1"/>
  <c r="C27" i="47" a="1"/>
  <c r="B31" i="46" a="1"/>
  <c r="B7" i="46" a="1"/>
  <c r="B26" i="47" a="1"/>
  <c r="B7" i="47" a="1"/>
  <c r="C42" i="47" a="1"/>
  <c r="C34" i="47" a="1"/>
  <c r="C42" i="46" a="1"/>
  <c r="B25" i="46" a="1"/>
  <c r="E25" i="47" a="1"/>
  <c r="B29" i="45" a="1"/>
  <c r="B14" i="45" a="1"/>
  <c r="C9" i="47" a="1"/>
  <c r="C19" i="47" a="1"/>
  <c r="C9" i="46" a="1"/>
  <c r="B43" i="46" a="1"/>
  <c r="F12" i="47" a="1"/>
  <c r="B14" i="46" a="1"/>
  <c r="B7" i="45" a="1"/>
  <c r="B40" i="44" a="1"/>
  <c r="B32" i="44" a="1"/>
  <c r="B44" i="47" a="1"/>
  <c r="C44" i="45" a="1"/>
  <c r="B9" i="44" a="1"/>
  <c r="E21" i="46" a="1"/>
  <c r="C36" i="46" a="1"/>
  <c r="C33" i="46" a="1"/>
  <c r="D27" i="46" a="1"/>
  <c r="E29" i="44" a="1"/>
  <c r="E20" i="46" a="1"/>
  <c r="B34" i="45" a="1"/>
  <c r="C42" i="44" a="1"/>
  <c r="E25" i="44" a="1"/>
  <c r="D29" i="47" a="1"/>
  <c r="C17" i="45" a="1"/>
  <c r="B21" i="47" a="1"/>
  <c r="B44" i="45" a="1"/>
  <c r="D13" i="45" a="1"/>
  <c r="C29" i="44" a="1"/>
  <c r="E16" i="44" a="1"/>
  <c r="E31" i="45" a="1"/>
  <c r="E4" i="44" a="1"/>
  <c r="C10" i="47" a="1"/>
  <c r="C38" i="45" a="1"/>
  <c r="E46" i="44" a="1"/>
  <c r="C30" i="44" a="1"/>
  <c r="C19" i="44" a="1"/>
  <c r="B15" i="45" a="1"/>
  <c r="B21" i="45" a="1"/>
  <c r="B12" i="44" a="1"/>
  <c r="E45" i="44" a="1"/>
  <c r="C43" i="45" a="1"/>
  <c r="C16" i="44" a="1"/>
  <c r="D6" i="45" a="1"/>
  <c r="E35" i="44" a="1"/>
  <c r="C29" i="43" a="1"/>
  <c r="E14" i="43" a="1"/>
  <c r="B29" i="43" a="1"/>
  <c r="B14" i="43" a="1"/>
  <c r="C45" i="43" a="1"/>
  <c r="C37" i="43" a="1"/>
  <c r="C19" i="43" a="1"/>
  <c r="C10" i="43" a="1"/>
  <c r="C28" i="49" a="1"/>
  <c r="C13" i="49" a="1"/>
  <c r="B28" i="49" a="1"/>
  <c r="B13" i="49" a="1"/>
  <c r="C44" i="49" a="1"/>
  <c r="C36" i="49" a="1"/>
  <c r="C18" i="49" a="1"/>
  <c r="C9" i="49" a="1"/>
  <c r="B45" i="49" a="1"/>
  <c r="B37" i="49" a="1"/>
  <c r="D28" i="49" a="1"/>
  <c r="B20" i="49" a="1"/>
  <c r="F11" i="49" a="1"/>
  <c r="C28" i="48" a="1"/>
  <c r="C13" i="48" a="1"/>
  <c r="C5" i="48" a="1"/>
  <c r="B25" i="48" a="1"/>
  <c r="B6" i="48" a="1"/>
  <c r="C41" i="48" a="1"/>
  <c r="C33" i="48" a="1"/>
  <c r="C15" i="48" a="1"/>
  <c r="E7" i="48" a="1"/>
  <c r="B43" i="48" a="1"/>
  <c r="B35" i="48" a="1"/>
  <c r="D26" i="48" a="1"/>
  <c r="B18" i="48" a="1"/>
  <c r="D7" i="48" a="1"/>
  <c r="C26" i="47" a="1"/>
  <c r="B30" i="46" a="1"/>
  <c r="B6" i="46" a="1"/>
  <c r="B25" i="47" a="1"/>
  <c r="B6" i="47" a="1"/>
  <c r="C41" i="47" a="1"/>
  <c r="E28" i="47" a="1"/>
  <c r="B41" i="46" a="1"/>
  <c r="B21" i="46" a="1"/>
  <c r="C17" i="47" a="1"/>
  <c r="B28" i="45" a="1"/>
  <c r="B13" i="45" a="1"/>
  <c r="C47" i="46" a="1"/>
  <c r="B17" i="47" a="1"/>
  <c r="C5" i="46" a="1"/>
  <c r="C40" i="46" a="1"/>
  <c r="C24" i="46" a="1"/>
  <c r="C12" i="46" a="1"/>
  <c r="B47" i="44" a="1"/>
  <c r="B39" i="44" a="1"/>
  <c r="B21" i="44" a="1"/>
  <c r="C43" i="46" a="1"/>
  <c r="B43" i="45" a="1"/>
  <c r="C8" i="44" a="1"/>
  <c r="C19" i="46" a="1"/>
  <c r="C23" i="46" a="1"/>
  <c r="B36" i="47" a="1"/>
  <c r="C32" i="45" a="1"/>
  <c r="E19" i="44" a="1"/>
  <c r="B17" i="46" a="1"/>
  <c r="C30" i="45" a="1"/>
  <c r="C38" i="44" a="1"/>
  <c r="C24" i="44" a="1"/>
  <c r="B35" i="46" a="1"/>
  <c r="D12" i="45" a="1"/>
  <c r="E44" i="46" a="1"/>
  <c r="C42" i="45" a="1"/>
  <c r="D9" i="45" a="1"/>
  <c r="B28" i="44" a="1"/>
  <c r="E13" i="44" a="1"/>
  <c r="D29" i="45" a="1"/>
  <c r="E40" i="46" a="1"/>
  <c r="C30" i="46" a="1"/>
  <c r="B33" i="45" a="1"/>
  <c r="C44" i="44" a="1"/>
  <c r="B29" i="44" a="1"/>
  <c r="E17" i="44" a="1"/>
  <c r="F8" i="44" a="1"/>
  <c r="B9" i="45" a="1"/>
  <c r="E7" i="44" a="1"/>
  <c r="B38" i="46" a="1"/>
  <c r="C29" i="45" a="1"/>
  <c r="D45" i="44" a="1"/>
  <c r="D28" i="45" a="1"/>
  <c r="E18" i="44" a="1"/>
  <c r="C28" i="43" a="1"/>
  <c r="C13" i="43" a="1"/>
  <c r="B28" i="43" a="1"/>
  <c r="B13" i="43" a="1"/>
  <c r="C44" i="43" a="1"/>
  <c r="C36" i="43" a="1"/>
  <c r="C18" i="43" a="1"/>
  <c r="C9" i="43" a="1"/>
  <c r="B46" i="43" a="1"/>
  <c r="B38" i="43" a="1"/>
  <c r="D29" i="43" a="1"/>
  <c r="B21" i="43" a="1"/>
  <c r="F11" i="43" a="1"/>
  <c r="C28" i="42" a="1"/>
  <c r="C13" i="42" a="1"/>
  <c r="D27" i="42" a="1"/>
  <c r="C6" i="42" a="1"/>
  <c r="B29" i="42" a="1"/>
  <c r="B14" i="42" a="1"/>
  <c r="C45" i="42" a="1"/>
  <c r="C37" i="42" a="1"/>
  <c r="C19" i="42" a="1"/>
  <c r="E5" i="42" a="1"/>
  <c r="B33" i="42" a="1"/>
  <c r="B40" i="42" a="1"/>
  <c r="F10" i="42" a="1"/>
  <c r="D5" i="41" a="1"/>
  <c r="E16" i="41" a="1"/>
  <c r="B25" i="41" a="1"/>
  <c r="E4" i="41" a="1"/>
  <c r="F11" i="41" a="1"/>
  <c r="E31" i="41" a="1"/>
  <c r="B6" i="41" a="1"/>
  <c r="D22" i="41" a="1"/>
  <c r="C44" i="41" a="1"/>
  <c r="C36" i="41" a="1"/>
  <c r="C18" i="41" a="1"/>
  <c r="E7" i="41" a="1"/>
  <c r="B17" i="41" a="1"/>
  <c r="E32" i="41" a="1"/>
  <c r="B47" i="41" a="1"/>
  <c r="D29" i="41" a="1"/>
  <c r="C8" i="40" a="1"/>
  <c r="E42" i="40" a="1"/>
  <c r="E34" i="40" a="1"/>
  <c r="C27" i="49" a="1"/>
  <c r="B8" i="49" a="1"/>
  <c r="B27" i="49" a="1"/>
  <c r="C12" i="49" a="1"/>
  <c r="C43" i="49" a="1"/>
  <c r="C35" i="49" a="1"/>
  <c r="C17" i="49" a="1"/>
  <c r="D8" i="49" a="1"/>
  <c r="B44" i="49" a="1"/>
  <c r="B36" i="49" a="1"/>
  <c r="D27" i="49" a="1"/>
  <c r="B19" i="49" a="1"/>
  <c r="D7" i="49" a="1"/>
  <c r="C27" i="48" a="1"/>
  <c r="E11" i="48" a="1"/>
  <c r="B2" i="48" a="1"/>
  <c r="B24" i="48" a="1"/>
  <c r="B5" i="48" a="1"/>
  <c r="C40" i="48" a="1"/>
  <c r="C32" i="48" a="1"/>
  <c r="E13" i="48" a="1"/>
  <c r="E6" i="48" a="1"/>
  <c r="B42" i="48" a="1"/>
  <c r="B34" i="48" a="1"/>
  <c r="D25" i="48" a="1"/>
  <c r="B17" i="48" a="1"/>
  <c r="B9" i="47" a="1"/>
  <c r="C25" i="47" a="1"/>
  <c r="B29" i="46" a="1"/>
  <c r="B5" i="46" a="1"/>
  <c r="B24" i="47" a="1"/>
  <c r="B5" i="47" a="1"/>
  <c r="C40" i="47" a="1"/>
  <c r="C20" i="47" a="1"/>
  <c r="C38" i="46" a="1"/>
  <c r="C15" i="46" a="1"/>
  <c r="B15" i="47" a="1"/>
  <c r="B27" i="45" a="1"/>
  <c r="C12" i="45" a="1"/>
  <c r="B46" i="46" a="1"/>
  <c r="C11" i="47" a="1"/>
  <c r="C33" i="47" a="1"/>
  <c r="B45" i="47" a="1"/>
  <c r="C18" i="47" a="1"/>
  <c r="F10" i="46" a="1"/>
  <c r="B46" i="44" a="1"/>
  <c r="B38" i="44" a="1"/>
  <c r="B20" i="44" a="1"/>
  <c r="C26" i="46" a="1"/>
  <c r="C40" i="45" a="1"/>
  <c r="E26" i="47" a="1"/>
  <c r="C10" i="46" a="1"/>
  <c r="C17" i="46" a="1"/>
  <c r="E23" i="47" a="1"/>
  <c r="C27" i="45" a="1"/>
  <c r="C17" i="44" a="1"/>
  <c r="B13" i="46" a="1"/>
  <c r="C24" i="45" a="1"/>
  <c r="E36" i="44" a="1"/>
  <c r="B23" i="44" a="1"/>
  <c r="D20" i="46" a="1"/>
  <c r="C26" i="49" a="1"/>
  <c r="C7" i="49" a="1"/>
  <c r="B26" i="49" a="1"/>
  <c r="B7" i="49" a="1"/>
  <c r="C42" i="49" a="1"/>
  <c r="C34" i="49" a="1"/>
  <c r="C16" i="49" a="1"/>
  <c r="E7" i="49" a="1"/>
  <c r="B43" i="49" a="1"/>
  <c r="B35" i="49" a="1"/>
  <c r="D26" i="49" a="1"/>
  <c r="B18" i="49" a="1"/>
  <c r="F10" i="49" a="1"/>
  <c r="C26" i="48" a="1"/>
  <c r="E10" i="48" a="1"/>
  <c r="B31" i="48" a="1"/>
  <c r="B23" i="48" a="1"/>
  <c r="C47" i="48" a="1"/>
  <c r="C39" i="48" a="1"/>
  <c r="E21" i="48" a="1"/>
  <c r="F12" i="48" a="1"/>
  <c r="E5" i="48" a="1"/>
  <c r="B41" i="48" a="1"/>
  <c r="B33" i="48" a="1"/>
  <c r="D24" i="48" a="1"/>
  <c r="B16" i="48" a="1"/>
  <c r="C8" i="47" a="1"/>
  <c r="C24" i="47" a="1"/>
  <c r="B28" i="46" a="1"/>
  <c r="B31" i="47" a="1"/>
  <c r="B23" i="47" a="1"/>
  <c r="C47" i="47" a="1"/>
  <c r="C39" i="47" a="1"/>
  <c r="B18" i="47" a="1"/>
  <c r="B37" i="46" a="1"/>
  <c r="B47" i="47" a="1"/>
  <c r="E4" i="47" a="1"/>
  <c r="B26" i="45" a="1"/>
  <c r="E30" i="47" a="1"/>
  <c r="B46" i="47" a="1"/>
  <c r="E6" i="47" a="1"/>
  <c r="E24" i="47" a="1"/>
  <c r="B41" i="47" a="1"/>
  <c r="B40" i="46" a="1"/>
  <c r="B9" i="46" a="1"/>
  <c r="B45" i="44" a="1"/>
  <c r="B37" i="44" a="1"/>
  <c r="B19" i="44" a="1"/>
  <c r="B24" i="46" a="1"/>
  <c r="B39" i="45" a="1"/>
  <c r="B16" i="47" a="1"/>
  <c r="F8" i="46" a="1"/>
  <c r="F11" i="46" a="1"/>
  <c r="E12" i="47" a="1"/>
  <c r="C19" i="45" a="1"/>
  <c r="C13" i="44" a="1"/>
  <c r="F9" i="46" a="1"/>
  <c r="D22" i="45" a="1"/>
  <c r="C34" i="44" a="1"/>
  <c r="E21" i="44" a="1"/>
  <c r="F12" i="46" a="1"/>
  <c r="D8" i="45" a="1"/>
  <c r="C25" i="46" a="1"/>
  <c r="C35" i="45" a="1"/>
  <c r="D5" i="45" a="1"/>
  <c r="C25" i="44" a="1"/>
  <c r="B6" i="44" a="1"/>
  <c r="B17" i="45" a="1"/>
  <c r="B15" i="46" a="1"/>
  <c r="D15" i="46" a="1"/>
  <c r="C18" i="45" a="1"/>
  <c r="C40" i="44" a="1"/>
  <c r="C26" i="44" a="1"/>
  <c r="C15" i="44" a="1"/>
  <c r="D42" i="44" a="1"/>
  <c r="E39" i="44" a="1"/>
  <c r="B26" i="44" a="1"/>
  <c r="B38" i="45" a="1"/>
  <c r="E43" i="44" a="1"/>
  <c r="C29" i="46" a="1"/>
  <c r="E11" i="45" a="1"/>
  <c r="C16" i="45" a="1"/>
  <c r="C26" i="43" a="1"/>
  <c r="C7" i="43" a="1"/>
  <c r="B26" i="43" a="1"/>
  <c r="B7" i="43" a="1"/>
  <c r="C42" i="43" a="1"/>
  <c r="C34" i="43" a="1"/>
  <c r="C16" i="43" a="1"/>
  <c r="E6" i="43" a="1"/>
  <c r="B44" i="43" a="1"/>
  <c r="B36" i="43" a="1"/>
  <c r="D27" i="43" a="1"/>
  <c r="B19" i="43" a="1"/>
  <c r="D7" i="43" a="1"/>
  <c r="C26" i="42" a="1"/>
  <c r="E6" i="42" a="1"/>
  <c r="D23" i="42" a="1"/>
  <c r="C10" i="42" a="1"/>
  <c r="B27" i="42" a="1"/>
  <c r="C12" i="42" a="1"/>
  <c r="C43" i="42" a="1"/>
  <c r="C35" i="42" a="1"/>
  <c r="C17" i="42" a="1"/>
  <c r="B17" i="42" a="1"/>
  <c r="D24" i="42" a="1"/>
  <c r="B34" i="42" a="1"/>
  <c r="F10" i="41" a="1"/>
  <c r="C7" i="41" a="1"/>
  <c r="B31" i="41" a="1"/>
  <c r="B23" i="41" a="1"/>
  <c r="B36" i="41" a="1"/>
  <c r="E43" i="41" a="1"/>
  <c r="C27" i="41" a="1"/>
  <c r="D8" i="41" a="1"/>
  <c r="D13" i="41" a="1"/>
  <c r="C42" i="41" a="1"/>
  <c r="C34" i="41" a="1"/>
  <c r="C16" i="41" a="1"/>
  <c r="B41" i="41" a="1"/>
  <c r="B9" i="49" a="1"/>
  <c r="C25" i="49" a="1"/>
  <c r="C6" i="49" a="1"/>
  <c r="B25" i="49" a="1"/>
  <c r="B6" i="49" a="1"/>
  <c r="C41" i="49" a="1"/>
  <c r="C33" i="49" a="1"/>
  <c r="C15" i="49" a="1"/>
  <c r="E6" i="49" a="1"/>
  <c r="B42" i="49" a="1"/>
  <c r="B34" i="49" a="1"/>
  <c r="D25" i="49" a="1"/>
  <c r="B17" i="49" a="1"/>
  <c r="B9" i="48" a="1"/>
  <c r="C25" i="48" a="1"/>
  <c r="E9" i="48" a="1"/>
  <c r="B30" i="48" a="1"/>
  <c r="B22" i="48" a="1"/>
  <c r="C46" i="48" a="1"/>
  <c r="C38" i="48" a="1"/>
  <c r="C20" i="48" a="1"/>
  <c r="B12" i="48" a="1"/>
  <c r="E4" i="48" a="1"/>
  <c r="B40" i="48" a="1"/>
  <c r="B32" i="48" a="1"/>
  <c r="D23" i="48" a="1"/>
  <c r="B15" i="48" a="1"/>
  <c r="E31" i="47" a="1"/>
  <c r="C23" i="47" a="1"/>
  <c r="B8" i="47" a="1"/>
  <c r="B30" i="47" a="1"/>
  <c r="B22" i="47" a="1"/>
  <c r="C46" i="47" a="1"/>
  <c r="C38" i="47" a="1"/>
  <c r="B12" i="47" a="1"/>
  <c r="C34" i="46" a="1"/>
  <c r="B43" i="47" a="1"/>
  <c r="B26" i="46" a="1"/>
  <c r="B25" i="45" a="1"/>
  <c r="E22" i="47" a="1"/>
  <c r="B42" i="47" a="1"/>
  <c r="C22" i="46" a="1"/>
  <c r="C16" i="47" a="1"/>
  <c r="B37" i="47" a="1"/>
  <c r="E29" i="47" a="1"/>
  <c r="B35" i="44" a="1"/>
  <c r="C39" i="46" a="1"/>
  <c r="C10" i="45" a="1"/>
  <c r="B31" i="44" a="1"/>
  <c r="E32" i="46" a="1"/>
  <c r="C43" i="44" a="1"/>
  <c r="C15" i="45" a="1"/>
  <c r="D26" i="45" a="1"/>
  <c r="E23" i="44" a="1"/>
  <c r="D34" i="44" a="1"/>
  <c r="E7" i="45" a="1"/>
  <c r="E8" i="44" a="1"/>
  <c r="C6" i="43" a="1"/>
  <c r="C43" i="43" a="1"/>
  <c r="E13" i="43" a="1"/>
  <c r="B39" i="43" a="1"/>
  <c r="D22" i="43" a="1"/>
  <c r="C29" i="42" a="1"/>
  <c r="B32" i="42" a="1"/>
  <c r="B30" i="42" a="1"/>
  <c r="C46" i="42" a="1"/>
  <c r="C20" i="42" a="1"/>
  <c r="B36" i="42" a="1"/>
  <c r="B15" i="42" a="1"/>
  <c r="E19" i="41" a="1"/>
  <c r="C9" i="41" a="1"/>
  <c r="E33" i="41" a="1"/>
  <c r="B44" i="41" a="1"/>
  <c r="C46" i="41" a="1"/>
  <c r="C35" i="41" a="1"/>
  <c r="E13" i="41" a="1"/>
  <c r="D24" i="41" a="1"/>
  <c r="E34" i="41" a="1"/>
  <c r="B46" i="41" a="1"/>
  <c r="B20" i="41" a="1"/>
  <c r="D5" i="40" a="1"/>
  <c r="E38" i="40" a="1"/>
  <c r="C29" i="40" a="1"/>
  <c r="D12" i="40" a="1"/>
  <c r="B28" i="40" a="1"/>
  <c r="B45" i="40" a="1"/>
  <c r="F8" i="40" a="1"/>
  <c r="D34" i="40" a="1"/>
  <c r="B44" i="40" a="1"/>
  <c r="D42" i="40" a="1"/>
  <c r="D19" i="40" a="1"/>
  <c r="B35" i="40" a="1"/>
  <c r="E8" i="40" a="1"/>
  <c r="E27" i="40" a="1"/>
  <c r="C11" i="40" a="1"/>
  <c r="B18" i="40" a="1"/>
  <c r="C41" i="40" a="1"/>
  <c r="B15" i="40" a="1"/>
  <c r="B37" i="43" a="1"/>
  <c r="C27" i="42" a="1"/>
  <c r="B28" i="42" a="1"/>
  <c r="C44" i="42" a="1"/>
  <c r="C18" i="42" a="1"/>
  <c r="D7" i="42" a="1"/>
  <c r="E14" i="41" a="1"/>
  <c r="C29" i="41" a="1"/>
  <c r="B34" i="41" a="1"/>
  <c r="C45" i="41" a="1"/>
  <c r="C33" i="41" a="1"/>
  <c r="B21" i="41" a="1"/>
  <c r="C30" i="41" a="1"/>
  <c r="B45" i="41" a="1"/>
  <c r="E46" i="40" a="1"/>
  <c r="E37" i="40" a="1"/>
  <c r="E19" i="40" a="1"/>
  <c r="E11" i="40" a="1"/>
  <c r="B25" i="40" a="1"/>
  <c r="B8" i="40" a="1"/>
  <c r="B30" i="40" a="1"/>
  <c r="B36" i="40" a="1"/>
  <c r="D16" i="40" a="1"/>
  <c r="D29" i="40" a="1"/>
  <c r="F7" i="40" a="1"/>
  <c r="E4" i="40" a="1"/>
  <c r="E28" i="40" a="1"/>
  <c r="E6" i="40" a="1"/>
  <c r="E36" i="40" a="1"/>
  <c r="D45" i="40" a="1"/>
  <c r="B22" i="40" a="1"/>
  <c r="B27" i="40" a="1"/>
  <c r="D25" i="40" a="1"/>
  <c r="B46" i="40" a="1"/>
  <c r="C47" i="40" a="1"/>
  <c r="E7" i="40" a="1"/>
  <c r="B9" i="41" a="1"/>
  <c r="E21" i="41" a="1"/>
  <c r="E46" i="41" a="1"/>
  <c r="F10" i="40" a="1"/>
  <c r="E17" i="40" a="1"/>
  <c r="D18" i="40" a="1"/>
  <c r="B24" i="40" a="1"/>
  <c r="C9" i="40" a="1"/>
  <c r="B42" i="40" a="1"/>
  <c r="C46" i="40" a="1"/>
  <c r="E6" i="41" a="1"/>
  <c r="E43" i="40" a="1"/>
  <c r="C25" i="40" a="1"/>
  <c r="D15" i="40" a="1"/>
  <c r="E5" i="40" a="1"/>
  <c r="B39" i="40" a="1"/>
  <c r="E22" i="40" a="1"/>
  <c r="B17" i="40" a="1"/>
  <c r="B47" i="40" a="1"/>
  <c r="C44" i="40" a="1"/>
  <c r="B32" i="40" a="1"/>
  <c r="B41" i="40" a="1"/>
  <c r="D28" i="40" a="1"/>
  <c r="B36" i="44" a="1"/>
  <c r="C41" i="44" a="1"/>
  <c r="B42" i="43" a="1"/>
  <c r="C33" i="42" a="1"/>
  <c r="B14" i="41" a="1"/>
  <c r="C37" i="41" a="1"/>
  <c r="D25" i="41" a="1"/>
  <c r="C22" i="40" a="1"/>
  <c r="C37" i="46" a="1"/>
  <c r="B18" i="44" a="1"/>
  <c r="C7" i="46" a="1"/>
  <c r="E5" i="44" a="1"/>
  <c r="E15" i="44" a="1"/>
  <c r="C20" i="46" a="1"/>
  <c r="E26" i="44" a="1"/>
  <c r="C8" i="45" a="1"/>
  <c r="C13" i="45" a="1"/>
  <c r="D16" i="44" a="1"/>
  <c r="E28" i="44" a="1"/>
  <c r="D38" i="44" a="1"/>
  <c r="B13" i="44" a="1"/>
  <c r="C5" i="43" a="1"/>
  <c r="C41" i="43" a="1"/>
  <c r="E7" i="43" a="1"/>
  <c r="B20" i="43" a="1"/>
  <c r="D26" i="42" a="1"/>
  <c r="D28" i="42" a="1"/>
  <c r="B43" i="41" a="1"/>
  <c r="B12" i="41" a="1"/>
  <c r="B15" i="41" a="1"/>
  <c r="C28" i="40" a="1"/>
  <c r="B38" i="40" a="1"/>
  <c r="E25" i="40" a="1"/>
  <c r="C40" i="40" a="1"/>
  <c r="B12" i="40" a="1"/>
  <c r="C27" i="40" a="1"/>
  <c r="B33" i="40" a="1"/>
  <c r="D39" i="40" a="1"/>
  <c r="E23" i="40" a="1"/>
  <c r="E26" i="40" a="1"/>
  <c r="B29" i="41" a="1"/>
  <c r="C41" i="41" a="1"/>
  <c r="B40" i="41" a="1"/>
  <c r="C26" i="40" a="1"/>
  <c r="D27" i="40" a="1"/>
  <c r="D35" i="40" a="1"/>
  <c r="E21" i="40" a="1"/>
  <c r="E24" i="40" a="1"/>
  <c r="B39" i="41" a="1"/>
  <c r="D38" i="40" a="1"/>
  <c r="D32" i="40" a="1"/>
  <c r="C45" i="40" a="1"/>
  <c r="D36" i="40" a="1"/>
  <c r="B29" i="40" a="1"/>
  <c r="C35" i="40" a="1"/>
  <c r="B26" i="40" a="1"/>
  <c r="C43" i="40" a="1"/>
  <c r="E32" i="44" a="1"/>
  <c r="B5" i="43" a="1"/>
  <c r="B6" i="42" a="1"/>
  <c r="C47" i="41" a="1"/>
  <c r="D12" i="41" a="1"/>
  <c r="C10" i="40" a="1"/>
  <c r="B32" i="46" a="1"/>
  <c r="B17" i="44" a="1"/>
  <c r="B40" i="47" a="1"/>
  <c r="C32" i="47" a="1"/>
  <c r="B14" i="44" a="1"/>
  <c r="E16" i="46" a="1"/>
  <c r="B24" i="44" a="1"/>
  <c r="D29" i="46" a="1"/>
  <c r="B12" i="45" a="1"/>
  <c r="C11" i="44" a="1"/>
  <c r="B18" i="45" a="1"/>
  <c r="C33" i="44" a="1"/>
  <c r="B9" i="43" a="1"/>
  <c r="B27" i="43" a="1"/>
  <c r="C40" i="43" a="1"/>
  <c r="B16" i="43" a="1"/>
  <c r="B35" i="43" a="1"/>
  <c r="B18" i="43" a="1"/>
  <c r="C25" i="42" a="1"/>
  <c r="B20" i="42" a="1"/>
  <c r="B26" i="42" a="1"/>
  <c r="C42" i="42" a="1"/>
  <c r="C16" i="42" a="1"/>
  <c r="B21" i="42" a="1"/>
  <c r="F9" i="41" a="1"/>
  <c r="B30" i="41" a="1"/>
  <c r="B32" i="41" a="1"/>
  <c r="C25" i="41" a="1"/>
  <c r="D30" i="41" a="1"/>
  <c r="C43" i="41" a="1"/>
  <c r="C32" i="41" a="1"/>
  <c r="C11" i="41" a="1"/>
  <c r="E12" i="41" a="1"/>
  <c r="C28" i="41" a="1"/>
  <c r="B42" i="41" a="1"/>
  <c r="F8" i="41" a="1"/>
  <c r="E45" i="40" a="1"/>
  <c r="E18" i="40" a="1"/>
  <c r="C7" i="40" a="1"/>
  <c r="C12" i="40" a="1"/>
  <c r="B7" i="40" a="1"/>
  <c r="C39" i="40" a="1"/>
  <c r="D27" i="41" a="1"/>
  <c r="D26" i="41" a="1"/>
  <c r="C26" i="41" a="1"/>
  <c r="E35" i="40" a="1"/>
  <c r="D40" i="40" a="1"/>
  <c r="D24" i="40" a="1"/>
  <c r="B6" i="40" a="1"/>
  <c r="C38" i="40" a="1"/>
  <c r="C23" i="41" a="1"/>
  <c r="E16" i="40" a="1"/>
  <c r="B19" i="40" a="1"/>
  <c r="C20" i="40" a="1"/>
  <c r="B37" i="40" a="1"/>
  <c r="D17" i="40" a="1"/>
  <c r="F11" i="40" a="1"/>
  <c r="C19" i="40" a="1"/>
  <c r="D44" i="40" a="1"/>
  <c r="C34" i="40" a="1"/>
  <c r="C7" i="44" a="1"/>
  <c r="C45" i="44" a="1"/>
  <c r="C8" i="42" a="1"/>
  <c r="C5" i="41" a="1"/>
  <c r="E38" i="41" a="1"/>
  <c r="B31" i="40" a="1"/>
  <c r="C25" i="45" a="1"/>
  <c r="B22" i="46" a="1"/>
  <c r="D24" i="47" a="1"/>
  <c r="C46" i="45" a="1"/>
  <c r="D6" i="46" a="1"/>
  <c r="B37" i="45" a="1"/>
  <c r="E22" i="44" a="1"/>
  <c r="C11" i="46" a="1"/>
  <c r="E42" i="44" a="1"/>
  <c r="F7" i="44" a="1"/>
  <c r="D10" i="45" a="1"/>
  <c r="C20" i="44" a="1"/>
  <c r="C8" i="43" a="1"/>
  <c r="B25" i="43" a="1"/>
  <c r="C35" i="43" a="1"/>
  <c r="D8" i="43" a="1"/>
  <c r="B34" i="43" a="1"/>
  <c r="B17" i="43" a="1"/>
  <c r="C24" i="42" a="1"/>
  <c r="B16" i="42" a="1"/>
  <c r="B25" i="42" a="1"/>
  <c r="C41" i="42" a="1"/>
  <c r="C15" i="42" a="1"/>
  <c r="B18" i="42" a="1"/>
  <c r="E20" i="41" a="1"/>
  <c r="C10" i="41" a="1"/>
  <c r="E44" i="40" a="1"/>
  <c r="C6" i="40" a="1"/>
  <c r="B21" i="40" a="1"/>
  <c r="B43" i="40" a="1"/>
  <c r="F9" i="40" a="1"/>
  <c r="D22" i="40" a="1"/>
  <c r="B16" i="40" a="1"/>
  <c r="C36" i="40" a="1"/>
  <c r="B2" i="40" a="1"/>
  <c r="B34" i="40" a="1"/>
  <c r="D11" i="40" a="1"/>
  <c r="C32" i="40" a="1"/>
  <c r="E14" i="45" a="1"/>
  <c r="C45" i="45" a="1"/>
  <c r="C15" i="43" a="1"/>
  <c r="B46" i="42" a="1"/>
  <c r="D28" i="41" a="1"/>
  <c r="C13" i="40" a="1"/>
  <c r="E21" i="45" a="1"/>
  <c r="B12" i="46" a="1"/>
  <c r="C45" i="46" a="1"/>
  <c r="B41" i="45" a="1"/>
  <c r="E33" i="46" a="1"/>
  <c r="C33" i="45" a="1"/>
  <c r="B8" i="44" a="1"/>
  <c r="E4" i="46" a="1"/>
  <c r="E38" i="44" a="1"/>
  <c r="E39" i="45" a="1"/>
  <c r="B45" i="45" a="1"/>
  <c r="E22" i="46" a="1"/>
  <c r="C27" i="43" a="1"/>
  <c r="B24" i="43" a="1"/>
  <c r="C33" i="43" a="1"/>
  <c r="B47" i="43" a="1"/>
  <c r="D30" i="43" a="1"/>
  <c r="E12" i="43" a="1"/>
  <c r="E14" i="42" a="1"/>
  <c r="C7" i="42" a="1"/>
  <c r="B22" i="42" a="1"/>
  <c r="C38" i="42" a="1"/>
  <c r="D8" i="42" a="1"/>
  <c r="B43" i="42" a="1"/>
  <c r="D6" i="41" a="1"/>
  <c r="B26" i="41" a="1"/>
  <c r="B16" i="41" a="1"/>
  <c r="E17" i="41" a="1"/>
  <c r="B18" i="41" a="1"/>
  <c r="C40" i="41" a="1"/>
  <c r="C20" i="41" a="1"/>
  <c r="E44" i="41" a="1"/>
  <c r="E33" i="40" a="1"/>
  <c r="C5" i="40" a="1"/>
  <c r="B5" i="40" a="1"/>
  <c r="B13" i="40" a="1"/>
  <c r="C18" i="40" a="1"/>
  <c r="B14" i="40" a="1"/>
  <c r="C17" i="40" a="1"/>
  <c r="D23" i="45" a="1"/>
  <c r="B8" i="43" a="1"/>
  <c r="E4" i="42" a="1"/>
  <c r="E5" i="41" a="1"/>
  <c r="E39" i="40" a="1"/>
  <c r="E9" i="40" a="1"/>
  <c r="B44" i="44" a="1"/>
  <c r="C36" i="45" a="1"/>
  <c r="C41" i="46" a="1"/>
  <c r="B16" i="45" a="1"/>
  <c r="C11" i="45" a="1"/>
  <c r="C28" i="45" a="1"/>
  <c r="C12" i="44" a="1"/>
  <c r="B19" i="46" a="1"/>
  <c r="C36" i="44" a="1"/>
  <c r="E14" i="44" a="1"/>
  <c r="C37" i="44" a="1"/>
  <c r="D46" i="44" a="1"/>
  <c r="C25" i="43" a="1"/>
  <c r="C12" i="43" a="1"/>
  <c r="C32" i="43" a="1"/>
  <c r="B45" i="43" a="1"/>
  <c r="D28" i="43" a="1"/>
  <c r="F10" i="43" a="1"/>
  <c r="C9" i="42" a="1"/>
  <c r="C5" i="42" a="1"/>
  <c r="B13" i="42" a="1"/>
  <c r="C36" i="42" a="1"/>
  <c r="D30" i="42" a="1"/>
  <c r="B37" i="42" a="1"/>
  <c r="B8" i="41" a="1"/>
  <c r="B24" i="41" a="1"/>
  <c r="E45" i="41" a="1"/>
  <c r="B7" i="41" a="1"/>
  <c r="C22" i="41" a="1"/>
  <c r="C39" i="41" a="1"/>
  <c r="C19" i="41" a="1"/>
  <c r="B37" i="41" a="1"/>
  <c r="E42" i="41" a="1"/>
  <c r="E18" i="41" a="1"/>
  <c r="B38" i="41" a="1"/>
  <c r="B9" i="40" a="1"/>
  <c r="E32" i="40" a="1"/>
  <c r="C24" i="40" a="1"/>
  <c r="E15" i="40" a="1"/>
  <c r="E12" i="40" a="1"/>
  <c r="C37" i="40" a="1"/>
  <c r="E10" i="40" a="1"/>
  <c r="C16" i="40" a="1"/>
  <c r="E5" i="47" a="1"/>
  <c r="B25" i="44" a="1"/>
  <c r="D25" i="43" a="1"/>
  <c r="D25" i="42" a="1"/>
  <c r="C15" i="41" a="1"/>
  <c r="C30" i="40" a="1"/>
  <c r="B43" i="44" a="1"/>
  <c r="B35" i="45" a="1"/>
  <c r="B23" i="46" a="1"/>
  <c r="D7" i="45" a="1"/>
  <c r="C9" i="44" a="1"/>
  <c r="C7" i="45" a="1"/>
  <c r="B44" i="46" a="1"/>
  <c r="C8" i="46" a="1"/>
  <c r="E27" i="44" a="1"/>
  <c r="E14" i="46" a="1"/>
  <c r="D24" i="45" a="1"/>
  <c r="E9" i="44" a="1"/>
  <c r="C24" i="43" a="1"/>
  <c r="B6" i="43" a="1"/>
  <c r="C17" i="43" a="1"/>
  <c r="B43" i="43" a="1"/>
  <c r="D26" i="43" a="1"/>
  <c r="B9" i="42" a="1"/>
  <c r="B45" i="42" a="1"/>
  <c r="E7" i="42" a="1"/>
  <c r="B7" i="42" a="1"/>
  <c r="C34" i="42" a="1"/>
  <c r="F11" i="42" a="1"/>
  <c r="D29" i="42" a="1"/>
  <c r="C6" i="41" a="1"/>
  <c r="B22" i="41" a="1"/>
  <c r="E41" i="41" a="1"/>
  <c r="B5" i="41" a="1"/>
  <c r="E11" i="41" a="1"/>
  <c r="C38" i="41" a="1"/>
  <c r="C17" i="41" a="1"/>
  <c r="B33" i="41" a="1"/>
  <c r="E40" i="41" a="1"/>
  <c r="E15" i="41" a="1"/>
  <c r="B35" i="41" a="1"/>
  <c r="D7" i="40" a="1"/>
  <c r="E40" i="40" a="1"/>
  <c r="E31" i="40" a="1"/>
  <c r="C23" i="40" a="1"/>
  <c r="E14" i="40" a="1"/>
  <c r="D33" i="40" a="1"/>
  <c r="D46" i="40" a="1"/>
  <c r="D10" i="40" a="1"/>
  <c r="D26" i="40" a="1"/>
  <c r="C47" i="44" a="1"/>
  <c r="E31" i="44" a="1"/>
  <c r="B41" i="42" a="1"/>
  <c r="E39" i="41" a="1"/>
  <c r="D6" i="40" a="1"/>
  <c r="D37" i="40" a="1"/>
  <c r="D8" i="40" a="1"/>
  <c r="C42" i="40" a="1"/>
  <c r="D43" i="40" a="1"/>
  <c r="C33" i="40" a="1"/>
  <c r="B23" i="40" a="1"/>
  <c r="C15" i="40" a="1"/>
  <c r="B40" i="40" a="1"/>
  <c r="B20" i="40" a="1"/>
  <c r="D9" i="40" a="1"/>
  <c r="E29" i="40" a="1"/>
  <c r="F12" i="40" a="1"/>
  <c r="D23" i="40" a="1"/>
  <c r="E10" i="49" a="1"/>
  <c r="D36" i="49" a="1"/>
  <c r="F7" i="49" a="1"/>
  <c r="E19" i="49" a="1"/>
  <c r="E42" i="49" a="1"/>
  <c r="E35" i="49" a="1"/>
  <c r="B2" i="49" a="1"/>
  <c r="F8" i="49" a="1"/>
  <c r="D38" i="48" a="1"/>
  <c r="D20" i="48" a="1"/>
  <c r="D32" i="48" a="1"/>
  <c r="D11" i="48" a="1"/>
  <c r="D34" i="48" a="1"/>
  <c r="D16" i="48" a="1"/>
  <c r="E22" i="48" a="1"/>
  <c r="E46" i="48" a="1"/>
  <c r="F12" i="44" a="1"/>
  <c r="D23" i="46" a="1"/>
  <c r="D8" i="47" a="1"/>
  <c r="E37" i="45" a="1"/>
  <c r="E28" i="45" a="1"/>
  <c r="E10" i="46" a="1"/>
  <c r="D18" i="47" a="1"/>
  <c r="D40" i="45" a="1"/>
  <c r="D32" i="44" a="1"/>
  <c r="D30" i="46" a="1"/>
  <c r="D44" i="47" a="1"/>
  <c r="D23" i="44" a="1"/>
  <c r="D27" i="44" a="1"/>
  <c r="D38" i="46" a="1"/>
  <c r="D36" i="45" a="1"/>
  <c r="E18" i="47" a="1"/>
  <c r="E22" i="45" a="1"/>
  <c r="E44" i="45" a="1"/>
  <c r="E42" i="46" a="1"/>
  <c r="D30" i="47" a="1"/>
  <c r="D9" i="47" a="1"/>
  <c r="E40" i="45" a="1"/>
  <c r="E43" i="46" a="1"/>
  <c r="D41" i="47" a="1"/>
  <c r="E45" i="45" a="1"/>
  <c r="D24" i="44" a="1"/>
  <c r="D35" i="46" a="1"/>
  <c r="D33" i="45" a="1"/>
  <c r="E32" i="47" a="1"/>
  <c r="E29" i="43" a="1"/>
  <c r="E30" i="43" a="1"/>
  <c r="D44" i="43" a="1"/>
  <c r="D45" i="43" a="1"/>
  <c r="D19" i="43" a="1"/>
  <c r="E20" i="49" a="1"/>
  <c r="D44" i="49" a="1"/>
  <c r="D18" i="49" a="1"/>
  <c r="E24" i="49" a="1"/>
  <c r="D15" i="49" a="1"/>
  <c r="E43" i="49" a="1"/>
  <c r="E17" i="49" a="1"/>
  <c r="E39" i="49" a="1"/>
  <c r="E11" i="49" a="1"/>
  <c r="D37" i="49" a="1"/>
  <c r="E8" i="49" a="1"/>
  <c r="D42" i="49" a="1"/>
  <c r="E28" i="49" a="1"/>
  <c r="E36" i="49" a="1"/>
  <c r="F12" i="49" a="1"/>
  <c r="D5" i="49" a="1"/>
  <c r="E32" i="49" a="1"/>
  <c r="D45" i="49" a="1"/>
  <c r="D19" i="49" a="1"/>
  <c r="E25" i="49" a="1"/>
  <c r="D34" i="49" a="1"/>
  <c r="E29" i="49" a="1"/>
  <c r="E46" i="49" a="1"/>
  <c r="E40" i="49" a="1"/>
  <c r="D12" i="49" a="1"/>
  <c r="D38" i="49" a="1"/>
  <c r="D9" i="49" a="1"/>
  <c r="E26" i="49" a="1"/>
  <c r="D16" i="49" a="1"/>
  <c r="D35" i="49" a="1"/>
  <c r="D17" i="49" a="1"/>
  <c r="E15" i="49" a="1"/>
  <c r="E44" i="49" a="1"/>
  <c r="E9" i="49" a="1"/>
  <c r="E38" i="48" a="1"/>
  <c r="E26" i="48" a="1"/>
  <c r="E27" i="48" a="1"/>
  <c r="D42" i="48" a="1"/>
  <c r="D43" i="48" a="1"/>
  <c r="D36" i="48" a="1"/>
  <c r="D22" i="44" a="1"/>
  <c r="D25" i="46" a="1"/>
  <c r="D19" i="47" a="1"/>
  <c r="D39" i="47" a="1"/>
  <c r="B2" i="44" a="1"/>
  <c r="D46" i="45" a="1"/>
  <c r="E16" i="47" a="1"/>
  <c r="E10" i="45" a="1"/>
  <c r="D39" i="46" a="1"/>
  <c r="D18" i="45" a="1"/>
  <c r="E44" i="47" a="1"/>
  <c r="D6" i="44" a="1"/>
  <c r="D19" i="46" a="1"/>
  <c r="D43" i="47" a="1"/>
  <c r="F9" i="44" a="1"/>
  <c r="D36" i="44" a="1"/>
  <c r="E9" i="46" a="1"/>
  <c r="D15" i="47" a="1"/>
  <c r="E29" i="45" a="1"/>
  <c r="F11" i="44" a="1"/>
  <c r="E46" i="46" a="1"/>
  <c r="E9" i="47" a="1"/>
  <c r="E13" i="45" a="1"/>
  <c r="E12" i="45" a="1"/>
  <c r="D41" i="45" a="1"/>
  <c r="E40" i="47" a="1"/>
  <c r="D35" i="43" a="1"/>
  <c r="E32" i="43" a="1"/>
  <c r="E23" i="43" a="1"/>
  <c r="E34" i="43" a="1"/>
  <c r="D9" i="43" a="1"/>
  <c r="D10" i="43" a="1"/>
  <c r="D42" i="43" a="1"/>
  <c r="E45" i="43" a="1"/>
  <c r="E10" i="42" a="1"/>
  <c r="E46" i="42" a="1"/>
  <c r="E23" i="42" a="1"/>
  <c r="F9" i="42" a="1"/>
  <c r="E34" i="42" a="1"/>
  <c r="E43" i="42" a="1"/>
  <c r="E36" i="42" a="1"/>
  <c r="F8" i="42" a="1"/>
  <c r="D32" i="41" a="1"/>
  <c r="E28" i="41" a="1"/>
  <c r="D15" i="41" a="1"/>
  <c r="D17" i="41" a="1"/>
  <c r="E8" i="41" a="1"/>
  <c r="E29" i="46" a="1"/>
  <c r="E46" i="45" a="1"/>
  <c r="E38" i="46" a="1"/>
  <c r="E35" i="47" a="1"/>
  <c r="F9" i="45" a="1"/>
  <c r="D10" i="46" a="1"/>
  <c r="D42" i="46" a="1"/>
  <c r="E33" i="44" a="1"/>
  <c r="E8" i="46" a="1"/>
  <c r="E17" i="46" a="1"/>
  <c r="E38" i="45" a="1"/>
  <c r="E45" i="46" a="1"/>
  <c r="E17" i="45" a="1"/>
  <c r="E8" i="45" a="1"/>
  <c r="D42" i="45" a="1"/>
  <c r="E36" i="45" a="1"/>
  <c r="D43" i="46" a="1"/>
  <c r="E43" i="45" a="1"/>
  <c r="D43" i="43" a="1"/>
  <c r="D6" i="43" a="1"/>
  <c r="F7" i="43" a="1"/>
  <c r="D20" i="43" a="1"/>
  <c r="D32" i="43" a="1"/>
  <c r="D15" i="43" a="1"/>
  <c r="E20" i="42" a="1"/>
  <c r="F7" i="42" a="1"/>
  <c r="D34" i="42" a="1"/>
  <c r="F12" i="42" a="1"/>
  <c r="E44" i="42" a="1"/>
  <c r="E18" i="42" a="1"/>
  <c r="D34" i="41" a="1"/>
  <c r="D16" i="41" a="1"/>
  <c r="E25" i="41" a="1"/>
  <c r="D12" i="47" a="1"/>
  <c r="E19" i="43" a="1"/>
  <c r="E8" i="43" a="1"/>
  <c r="D39" i="43" a="1"/>
  <c r="D34" i="43" a="1"/>
  <c r="E39" i="42" a="1"/>
  <c r="E24" i="42" a="1"/>
  <c r="E25" i="42" a="1"/>
  <c r="E37" i="42" a="1"/>
  <c r="D35" i="41" a="1"/>
  <c r="E23" i="41" a="1"/>
  <c r="D25" i="47" a="1"/>
  <c r="E38" i="47" a="1"/>
  <c r="D15" i="45" a="1"/>
  <c r="D12" i="44" a="1"/>
  <c r="D8" i="46" a="1"/>
  <c r="D37" i="43" a="1"/>
  <c r="E16" i="43" a="1"/>
  <c r="E13" i="42" a="1"/>
  <c r="D17" i="42" a="1"/>
  <c r="D9" i="42" a="1"/>
  <c r="E38" i="42" a="1"/>
  <c r="D43" i="41" a="1"/>
  <c r="E9" i="45" a="1"/>
  <c r="E39" i="43" a="1"/>
  <c r="D46" i="43" a="1"/>
  <c r="D41" i="43" a="1"/>
  <c r="E29" i="42" a="1"/>
  <c r="D45" i="42" a="1"/>
  <c r="D32" i="42" a="1"/>
  <c r="D11" i="41" a="1"/>
  <c r="E40" i="43" a="1"/>
  <c r="F8" i="43" a="1"/>
  <c r="D39" i="42" a="1"/>
  <c r="E19" i="42" a="1"/>
  <c r="D37" i="41" a="1"/>
  <c r="D46" i="42" a="1"/>
  <c r="E26" i="41" a="1"/>
  <c r="E19" i="48" a="1"/>
  <c r="D35" i="48" a="1"/>
  <c r="E13" i="46" a="1"/>
  <c r="E33" i="45" a="1"/>
  <c r="F11" i="45" a="1"/>
  <c r="D11" i="46" a="1"/>
  <c r="D22" i="47" a="1"/>
  <c r="E10" i="47" a="1"/>
  <c r="F9" i="43" a="1"/>
  <c r="D43" i="42" a="1"/>
  <c r="E41" i="42" a="1"/>
  <c r="D10" i="41" a="1"/>
  <c r="D6" i="49" a="1"/>
  <c r="E34" i="49" a="1"/>
  <c r="E27" i="49" a="1"/>
  <c r="E24" i="48" a="1"/>
  <c r="E25" i="48" a="1"/>
  <c r="D10" i="48" a="1"/>
  <c r="D33" i="48" a="1"/>
  <c r="E16" i="48" a="1"/>
  <c r="E17" i="48" a="1"/>
  <c r="D44" i="48" a="1"/>
  <c r="D19" i="44" a="1"/>
  <c r="D26" i="47" a="1"/>
  <c r="D38" i="45" a="1"/>
  <c r="E34" i="46" a="1"/>
  <c r="D35" i="47" a="1"/>
  <c r="F8" i="47" a="1"/>
  <c r="E20" i="47" a="1"/>
  <c r="D11" i="45" a="1"/>
  <c r="E24" i="43" a="1"/>
  <c r="E27" i="43" a="1"/>
  <c r="E22" i="42" a="1"/>
  <c r="E42" i="42" a="1"/>
  <c r="D40" i="41" a="1"/>
  <c r="D19" i="41" a="1"/>
  <c r="E10" i="43" a="1"/>
  <c r="D40" i="43" a="1"/>
  <c r="E30" i="42" a="1"/>
  <c r="E26" i="42" a="1"/>
  <c r="E9" i="41" a="1"/>
  <c r="D38" i="41" a="1"/>
  <c r="D41" i="44" a="1"/>
  <c r="F8" i="45" a="1"/>
  <c r="D26" i="46" a="1"/>
  <c r="E22" i="43" a="1"/>
  <c r="D33" i="43" a="1"/>
  <c r="D5" i="42" a="1"/>
  <c r="D10" i="42" a="1"/>
  <c r="E27" i="41" a="1"/>
  <c r="D46" i="41" a="1"/>
  <c r="E39" i="46" a="1"/>
  <c r="D12" i="43" a="1"/>
  <c r="D44" i="42" a="1"/>
  <c r="E28" i="42" a="1"/>
  <c r="E30" i="41" a="1"/>
  <c r="E42" i="43" a="1"/>
  <c r="D12" i="42" a="1"/>
  <c r="D36" i="41" a="1"/>
  <c r="B2" i="42" a="1"/>
  <c r="D45" i="48" a="1"/>
  <c r="E23" i="45" a="1"/>
  <c r="D9" i="46" a="1"/>
  <c r="E40" i="44" a="1"/>
  <c r="E9" i="43" a="1"/>
  <c r="D42" i="42" a="1"/>
  <c r="D45" i="41" a="1"/>
  <c r="E38" i="49" a="1"/>
  <c r="D20" i="49" a="1"/>
  <c r="D11" i="49" a="1"/>
  <c r="E8" i="48" a="1"/>
  <c r="D9" i="48" a="1"/>
  <c r="D40" i="48" a="1"/>
  <c r="D41" i="48" a="1"/>
  <c r="E35" i="48" a="1"/>
  <c r="E36" i="48" a="1"/>
  <c r="E18" i="48" a="1"/>
  <c r="D44" i="44" a="1"/>
  <c r="E11" i="46" a="1"/>
  <c r="E15" i="47" a="1"/>
  <c r="F12" i="45" a="1"/>
  <c r="D40" i="46" a="1"/>
  <c r="D19" i="45" a="1"/>
  <c r="E43" i="47" a="1"/>
  <c r="D28" i="44" a="1"/>
  <c r="D24" i="46" a="1"/>
  <c r="D36" i="47" a="1"/>
  <c r="D32" i="45" a="1"/>
  <c r="E26" i="45" a="1"/>
  <c r="E12" i="46" a="1"/>
  <c r="D16" i="47" a="1"/>
  <c r="D20" i="47" a="1"/>
  <c r="D39" i="44" a="1"/>
  <c r="D43" i="45" a="1"/>
  <c r="E19" i="47" a="1"/>
  <c r="E34" i="45" a="1"/>
  <c r="D44" i="46" a="1"/>
  <c r="D34" i="45" a="1"/>
  <c r="E39" i="47" a="1"/>
  <c r="F7" i="45" a="1"/>
  <c r="D22" i="46" a="1"/>
  <c r="E44" i="44" a="1"/>
  <c r="D18" i="43" a="1"/>
  <c r="D11" i="43" a="1"/>
  <c r="D18" i="42" a="1"/>
  <c r="D15" i="42" a="1"/>
  <c r="D42" i="41" a="1"/>
  <c r="D35" i="44" a="1"/>
  <c r="D35" i="45" a="1"/>
  <c r="F9" i="47" a="1"/>
  <c r="E20" i="43" a="1"/>
  <c r="B2" i="43" a="1"/>
  <c r="D37" i="42" a="1"/>
  <c r="E45" i="42" a="1"/>
  <c r="F7" i="41" a="1"/>
  <c r="D40" i="44" a="1"/>
  <c r="D17" i="43" a="1"/>
  <c r="D36" i="42" a="1"/>
  <c r="E27" i="42" a="1"/>
  <c r="D18" i="41" a="1"/>
  <c r="E43" i="43" a="1"/>
  <c r="E11" i="42" a="1"/>
  <c r="D33" i="41" a="1"/>
  <c r="D6" i="42" a="1"/>
  <c r="D44" i="41" a="1"/>
  <c r="D46" i="49" a="1"/>
  <c r="D17" i="48" a="1"/>
  <c r="E25" i="46" a="1"/>
  <c r="D7" i="47" a="1"/>
  <c r="E41" i="46" a="1"/>
  <c r="E11" i="43" a="1"/>
  <c r="E9" i="42" a="1"/>
  <c r="E10" i="41" a="1"/>
  <c r="E23" i="49" a="1"/>
  <c r="D39" i="49" a="1"/>
  <c r="D33" i="49" a="1"/>
  <c r="D19" i="48" a="1"/>
  <c r="D39" i="48" a="1"/>
  <c r="D12" i="48" a="1"/>
  <c r="E15" i="48" a="1"/>
  <c r="E43" i="48" a="1"/>
  <c r="E44" i="48" a="1"/>
  <c r="E37" i="48" a="1"/>
  <c r="E18" i="45" a="1"/>
  <c r="D39" i="45" a="1"/>
  <c r="E34" i="47" a="1"/>
  <c r="D29" i="44" a="1"/>
  <c r="D32" i="46" a="1"/>
  <c r="E28" i="46" a="1"/>
  <c r="D15" i="44" a="1"/>
  <c r="D7" i="44" a="1"/>
  <c r="E18" i="46" a="1"/>
  <c r="D17" i="47" a="1"/>
  <c r="E11" i="47" a="1"/>
  <c r="E26" i="46" a="1"/>
  <c r="E10" i="44" a="1"/>
  <c r="D36" i="46" a="1"/>
  <c r="D40" i="47" a="1"/>
  <c r="D38" i="43" a="1"/>
  <c r="E8" i="42" a="1"/>
  <c r="B2" i="41" a="1"/>
  <c r="D32" i="47" a="1"/>
  <c r="E17" i="43" a="1"/>
  <c r="D20" i="42" a="1"/>
  <c r="F12" i="41" a="1"/>
  <c r="E36" i="43" a="1"/>
  <c r="D38" i="42" a="1"/>
  <c r="E22" i="41" a="1"/>
  <c r="E16" i="42" a="1"/>
  <c r="D20" i="41" a="1"/>
  <c r="E30" i="49" a="1"/>
  <c r="D15" i="48" a="1"/>
  <c r="F7" i="47" a="1"/>
  <c r="E5" i="45" a="1"/>
  <c r="F10" i="44" a="1"/>
  <c r="E26" i="43" a="1"/>
  <c r="E15" i="42" a="1"/>
  <c r="D39" i="41" a="1"/>
  <c r="E33" i="49" a="1"/>
  <c r="E16" i="49" a="1"/>
  <c r="D41" i="49" a="1"/>
  <c r="D46" i="48" a="1"/>
  <c r="E32" i="48" a="1"/>
  <c r="E33" i="48" a="1"/>
  <c r="E34" i="48" a="1"/>
  <c r="E23" i="48" a="1"/>
  <c r="F7" i="48" a="1"/>
  <c r="E45" i="48" a="1"/>
  <c r="E25" i="45" a="1"/>
  <c r="D20" i="45" a="1"/>
  <c r="E42" i="47" a="1"/>
  <c r="D13" i="44" a="1"/>
  <c r="D5" i="46" a="1"/>
  <c r="D45" i="47" a="1"/>
  <c r="D34" i="46" a="1"/>
  <c r="E15" i="45" a="1"/>
  <c r="E7" i="46" a="1"/>
  <c r="D28" i="47" a="1"/>
  <c r="D37" i="44" a="1"/>
  <c r="E42" i="45" a="1"/>
  <c r="E36" i="46" a="1"/>
  <c r="B2" i="47" a="1"/>
  <c r="E24" i="45" a="1"/>
  <c r="D45" i="46" a="1"/>
  <c r="D16" i="45" a="1"/>
  <c r="E46" i="47" a="1"/>
  <c r="D25" i="44" a="1"/>
  <c r="D16" i="46" a="1"/>
  <c r="D5" i="47" a="1"/>
  <c r="D27" i="45" a="1"/>
  <c r="E35" i="43" a="1"/>
  <c r="D19" i="42" a="1"/>
  <c r="D9" i="41" a="1"/>
  <c r="E32" i="42" a="1"/>
  <c r="D11" i="42" a="1"/>
  <c r="E40" i="42" a="1"/>
  <c r="E29" i="41" a="1"/>
  <c r="E45" i="49" a="1"/>
  <c r="D38" i="47" a="1"/>
  <c r="D37" i="45" a="1"/>
  <c r="E19" i="46" a="1"/>
  <c r="D16" i="43" a="1"/>
  <c r="E37" i="43" a="1"/>
  <c r="D41" i="42" a="1"/>
  <c r="D43" i="49" a="1"/>
  <c r="E41" i="49" a="1"/>
  <c r="D10" i="49" a="1"/>
  <c r="E18" i="49" a="1"/>
  <c r="E20" i="48" a="1"/>
  <c r="E40" i="48" a="1"/>
  <c r="E41" i="48" a="1"/>
  <c r="E42" i="48" a="1"/>
  <c r="D18" i="48" a="1"/>
  <c r="D37" i="48" a="1"/>
  <c r="E41" i="45" a="1"/>
  <c r="D41" i="46" a="1"/>
  <c r="B2" i="46" a="1"/>
  <c r="E41" i="44" a="1"/>
  <c r="E30" i="44" a="1"/>
  <c r="E27" i="46" a="1"/>
  <c r="D37" i="47" a="1"/>
  <c r="D27" i="47" a="1"/>
  <c r="D18" i="44" a="1"/>
  <c r="E30" i="46" a="1"/>
  <c r="E8" i="47" a="1"/>
  <c r="E30" i="45" a="1"/>
  <c r="D9" i="44" a="1"/>
  <c r="D44" i="45" a="1"/>
  <c r="E37" i="47" a="1"/>
  <c r="F10" i="45" a="1"/>
  <c r="D37" i="46" a="1"/>
  <c r="D6" i="47" a="1"/>
  <c r="E6" i="45" a="1"/>
  <c r="D11" i="44" a="1"/>
  <c r="D7" i="46" a="1"/>
  <c r="D33" i="47" a="1"/>
  <c r="E35" i="46" a="1"/>
  <c r="D10" i="44" a="1"/>
  <c r="E24" i="46" a="1"/>
  <c r="D10" i="47" a="1"/>
  <c r="E33" i="47" a="1"/>
  <c r="D5" i="43" a="1"/>
  <c r="E33" i="43" a="1"/>
  <c r="D16" i="42" a="1"/>
  <c r="D40" i="42" a="1"/>
  <c r="E33" i="42" a="1"/>
  <c r="D41" i="41" a="1"/>
  <c r="D5" i="48" a="1"/>
  <c r="D13" i="46" a="1"/>
  <c r="E36" i="47" a="1"/>
  <c r="D34" i="47" a="1"/>
  <c r="E5" i="46" a="1"/>
  <c r="E28" i="43" a="1"/>
  <c r="E17" i="42" a="1"/>
  <c r="E22" i="49" a="1"/>
  <c r="F9" i="49" a="1"/>
  <c r="D32" i="49" a="1"/>
  <c r="E37" i="49" a="1"/>
  <c r="E39" i="48" a="1"/>
  <c r="D6" i="48" a="1"/>
  <c r="F9" i="48" a="1"/>
  <c r="E28" i="48" a="1"/>
  <c r="E29" i="48" a="1"/>
  <c r="E30" i="48" a="1"/>
  <c r="E4" i="45" a="1"/>
  <c r="D33" i="46" a="1"/>
  <c r="D46" i="47" a="1"/>
  <c r="D17" i="46" a="1"/>
  <c r="B2" i="45" a="1"/>
  <c r="E23" i="46" a="1"/>
  <c r="D23" i="47" a="1"/>
  <c r="D33" i="44" a="1"/>
  <c r="E35" i="45" a="1"/>
  <c r="D45" i="45" a="1"/>
  <c r="E17" i="47" a="1"/>
  <c r="E19" i="45" a="1"/>
  <c r="D46" i="46" a="1"/>
  <c r="D17" i="45" a="1"/>
  <c r="E45" i="47" a="1"/>
  <c r="D26" i="44" a="1"/>
  <c r="D28" i="46" a="1"/>
  <c r="D42" i="47" a="1"/>
  <c r="E20" i="45" a="1"/>
  <c r="E37" i="44" a="1"/>
  <c r="E6" i="46" a="1"/>
  <c r="D11" i="47" a="1"/>
  <c r="E41" i="47" a="1"/>
  <c r="D43" i="44" a="1"/>
  <c r="E15" i="46" a="1"/>
  <c r="D13" i="47" a="1"/>
  <c r="F12" i="43" a="1"/>
  <c r="D36" i="43" a="1"/>
  <c r="E15" i="43" a="1"/>
  <c r="E41" i="43" a="1"/>
  <c r="E38" i="43" a="1"/>
  <c r="E46" i="43" a="1"/>
  <c r="E44" i="43" a="1"/>
  <c r="E18" i="43" a="1"/>
  <c r="D35" i="42" a="1"/>
  <c r="D33" i="42" a="1"/>
  <c r="D40" i="49" a="1"/>
  <c r="D30" i="44" a="1"/>
  <c r="D8" i="44" a="1"/>
  <c r="D5" i="44" a="1"/>
  <c r="E16" i="45" a="1"/>
  <c r="E25" i="43" a="1"/>
  <c r="E35" i="42" a="1"/>
  <c r="E24" i="41" a="1"/>
  <c r="D23" i="40" l="1"/>
  <c r="F12" i="40"/>
  <c r="E29" i="40"/>
  <c r="D9" i="40"/>
  <c r="B20" i="40"/>
  <c r="B40" i="40"/>
  <c r="C15" i="40"/>
  <c r="B23" i="40"/>
  <c r="C33" i="40"/>
  <c r="D43" i="40"/>
  <c r="C42" i="40"/>
  <c r="D8" i="40"/>
  <c r="D37" i="40"/>
  <c r="D6" i="40"/>
  <c r="E39" i="41"/>
  <c r="B41" i="42"/>
  <c r="E31" i="44"/>
  <c r="C47" i="44"/>
  <c r="D26" i="40"/>
  <c r="D10" i="40"/>
  <c r="D46" i="40"/>
  <c r="D33" i="40"/>
  <c r="E14" i="40"/>
  <c r="C23" i="40"/>
  <c r="E31" i="40"/>
  <c r="E40" i="40"/>
  <c r="D7" i="40"/>
  <c r="B35" i="41"/>
  <c r="E15" i="41"/>
  <c r="E40" i="41"/>
  <c r="B33" i="41"/>
  <c r="C17" i="41"/>
  <c r="C38" i="41"/>
  <c r="E11" i="41"/>
  <c r="B5" i="41"/>
  <c r="E41" i="41"/>
  <c r="B22" i="41"/>
  <c r="C6" i="41"/>
  <c r="D29" i="42"/>
  <c r="F11" i="42"/>
  <c r="C34" i="42"/>
  <c r="B7" i="42"/>
  <c r="E7" i="42"/>
  <c r="B11" i="42" s="1"/>
  <c r="B45" i="42"/>
  <c r="B9" i="42"/>
  <c r="D26" i="43"/>
  <c r="B43" i="43"/>
  <c r="C17" i="43"/>
  <c r="B6" i="43"/>
  <c r="C24" i="43"/>
  <c r="E9" i="44"/>
  <c r="D24" i="45"/>
  <c r="E14" i="46"/>
  <c r="E27" i="44"/>
  <c r="C8" i="46"/>
  <c r="B44" i="46"/>
  <c r="C7" i="45"/>
  <c r="C9" i="44"/>
  <c r="D7" i="45"/>
  <c r="B23" i="46"/>
  <c r="B35" i="45"/>
  <c r="B43" i="44"/>
  <c r="C30" i="40"/>
  <c r="C15" i="41"/>
  <c r="D25" i="42"/>
  <c r="D25" i="43"/>
  <c r="B25" i="44"/>
  <c r="E5" i="47"/>
  <c r="C16" i="40"/>
  <c r="E10" i="40"/>
  <c r="C37" i="40"/>
  <c r="E12" i="40"/>
  <c r="E15" i="40"/>
  <c r="C24" i="40"/>
  <c r="E32" i="40"/>
  <c r="B9" i="40"/>
  <c r="B38" i="41"/>
  <c r="E18" i="41"/>
  <c r="E42" i="41"/>
  <c r="B37" i="41"/>
  <c r="C19" i="41"/>
  <c r="C39" i="41"/>
  <c r="C22" i="41"/>
  <c r="B7" i="41"/>
  <c r="E45" i="41"/>
  <c r="B24" i="41"/>
  <c r="B8" i="41"/>
  <c r="B37" i="42"/>
  <c r="D30" i="42"/>
  <c r="C36" i="42"/>
  <c r="B13" i="42"/>
  <c r="C5" i="42"/>
  <c r="C9" i="42"/>
  <c r="F10" i="43"/>
  <c r="D28" i="43"/>
  <c r="B45" i="43"/>
  <c r="C32" i="43"/>
  <c r="C12" i="43"/>
  <c r="C25" i="43"/>
  <c r="D46" i="44"/>
  <c r="C37" i="44"/>
  <c r="E14" i="44"/>
  <c r="C36" i="44"/>
  <c r="B19" i="46"/>
  <c r="C12" i="44"/>
  <c r="C28" i="45"/>
  <c r="C11" i="45"/>
  <c r="B16" i="45"/>
  <c r="C41" i="46"/>
  <c r="C36" i="45"/>
  <c r="B44" i="44"/>
  <c r="E9" i="40"/>
  <c r="E39" i="40"/>
  <c r="E5" i="41"/>
  <c r="E4" i="42"/>
  <c r="B8" i="43"/>
  <c r="D23" i="45"/>
  <c r="C17" i="40"/>
  <c r="B14" i="40"/>
  <c r="C18" i="40"/>
  <c r="B13" i="40"/>
  <c r="B5" i="40"/>
  <c r="C5" i="40"/>
  <c r="E33" i="40"/>
  <c r="E44" i="41"/>
  <c r="C20" i="41"/>
  <c r="C40" i="41"/>
  <c r="B18" i="41"/>
  <c r="E17" i="41"/>
  <c r="B16" i="41"/>
  <c r="B26" i="41"/>
  <c r="D6" i="41"/>
  <c r="B43" i="42"/>
  <c r="D8" i="42"/>
  <c r="C38" i="42"/>
  <c r="B22" i="42"/>
  <c r="C7" i="42"/>
  <c r="E14" i="42"/>
  <c r="E12" i="43"/>
  <c r="D30" i="43"/>
  <c r="B47" i="43"/>
  <c r="C33" i="43"/>
  <c r="B24" i="43"/>
  <c r="C27" i="43"/>
  <c r="E22" i="46"/>
  <c r="B45" i="45"/>
  <c r="E39" i="45"/>
  <c r="E38" i="44"/>
  <c r="E4" i="46"/>
  <c r="B8" i="44"/>
  <c r="C33" i="45"/>
  <c r="E33" i="46"/>
  <c r="B41" i="45"/>
  <c r="C45" i="46"/>
  <c r="B12" i="46"/>
  <c r="E21" i="45"/>
  <c r="C13" i="40"/>
  <c r="D28" i="41"/>
  <c r="B46" i="42"/>
  <c r="C15" i="43"/>
  <c r="C45" i="45"/>
  <c r="E14" i="45"/>
  <c r="C32" i="40"/>
  <c r="D11" i="40"/>
  <c r="B34" i="40"/>
  <c r="B2" i="40"/>
  <c r="C36" i="40"/>
  <c r="B16" i="40"/>
  <c r="D22" i="40"/>
  <c r="F9" i="40"/>
  <c r="B43" i="40"/>
  <c r="B21" i="40"/>
  <c r="C6" i="40"/>
  <c r="E44" i="40"/>
  <c r="C10" i="41"/>
  <c r="E20" i="41"/>
  <c r="B18" i="42"/>
  <c r="C15" i="42"/>
  <c r="C41" i="42"/>
  <c r="B25" i="42"/>
  <c r="B16" i="42"/>
  <c r="C24" i="42"/>
  <c r="B17" i="43"/>
  <c r="B34" i="43"/>
  <c r="D8" i="43"/>
  <c r="C35" i="43"/>
  <c r="B25" i="43"/>
  <c r="C8" i="43"/>
  <c r="C20" i="44"/>
  <c r="D10" i="45"/>
  <c r="F7" i="44"/>
  <c r="E42" i="44"/>
  <c r="C11" i="46"/>
  <c r="E22" i="44"/>
  <c r="B37" i="45"/>
  <c r="D6" i="46"/>
  <c r="C46" i="45"/>
  <c r="D24" i="47"/>
  <c r="B22" i="46"/>
  <c r="C25" i="45"/>
  <c r="B31" i="40"/>
  <c r="E38" i="41"/>
  <c r="C5" i="41"/>
  <c r="C8" i="42"/>
  <c r="C45" i="44"/>
  <c r="C7" i="44"/>
  <c r="C34" i="40"/>
  <c r="D44" i="40"/>
  <c r="C19" i="40"/>
  <c r="F11" i="40"/>
  <c r="D17" i="40"/>
  <c r="B37" i="40"/>
  <c r="C20" i="40"/>
  <c r="B19" i="40"/>
  <c r="E16" i="40"/>
  <c r="C23" i="41"/>
  <c r="C38" i="40"/>
  <c r="B6" i="40"/>
  <c r="D24" i="40"/>
  <c r="D40" i="40"/>
  <c r="E35" i="40"/>
  <c r="C26" i="41"/>
  <c r="D26" i="41"/>
  <c r="D27" i="41"/>
  <c r="C39" i="40"/>
  <c r="B7" i="40"/>
  <c r="C12" i="40"/>
  <c r="C7" i="40"/>
  <c r="E18" i="40"/>
  <c r="E45" i="40"/>
  <c r="F8" i="41"/>
  <c r="B42" i="41"/>
  <c r="C28" i="41"/>
  <c r="E12" i="41"/>
  <c r="C11" i="41"/>
  <c r="C32" i="41"/>
  <c r="C43" i="41"/>
  <c r="D30" i="41"/>
  <c r="C25" i="41"/>
  <c r="B32" i="41"/>
  <c r="B30" i="41"/>
  <c r="F9" i="41"/>
  <c r="B21" i="42"/>
  <c r="C16" i="42"/>
  <c r="C42" i="42"/>
  <c r="B26" i="42"/>
  <c r="B20" i="42"/>
  <c r="C25" i="42"/>
  <c r="B18" i="43"/>
  <c r="B35" i="43"/>
  <c r="B16" i="43"/>
  <c r="C40" i="43"/>
  <c r="B27" i="43"/>
  <c r="B9" i="43"/>
  <c r="C33" i="44"/>
  <c r="B18" i="45"/>
  <c r="C11" i="44"/>
  <c r="B12" i="45"/>
  <c r="D29" i="46"/>
  <c r="B24" i="44"/>
  <c r="E16" i="46"/>
  <c r="B14" i="44"/>
  <c r="C32" i="47"/>
  <c r="B40" i="47"/>
  <c r="B17" i="44"/>
  <c r="B32" i="46"/>
  <c r="C10" i="40"/>
  <c r="D12" i="41"/>
  <c r="C47" i="41"/>
  <c r="B6" i="42"/>
  <c r="B5" i="43"/>
  <c r="E32" i="44"/>
  <c r="C43" i="40"/>
  <c r="B26" i="40"/>
  <c r="C35" i="40"/>
  <c r="B29" i="40"/>
  <c r="D36" i="40"/>
  <c r="C45" i="40"/>
  <c r="D32" i="40"/>
  <c r="D38" i="40"/>
  <c r="B39" i="41"/>
  <c r="E24" i="40"/>
  <c r="E21" i="40"/>
  <c r="D35" i="40"/>
  <c r="D27" i="40"/>
  <c r="C26" i="40"/>
  <c r="B40" i="41"/>
  <c r="C41" i="41"/>
  <c r="B29" i="41"/>
  <c r="E26" i="40"/>
  <c r="E23" i="40"/>
  <c r="D39" i="40"/>
  <c r="B33" i="40"/>
  <c r="C27" i="40"/>
  <c r="B12" i="40"/>
  <c r="C40" i="40"/>
  <c r="E25" i="40"/>
  <c r="B38" i="40"/>
  <c r="C28" i="40"/>
  <c r="B15" i="41"/>
  <c r="B12" i="41"/>
  <c r="B43" i="41"/>
  <c r="D28" i="42"/>
  <c r="D26" i="42"/>
  <c r="B20" i="43"/>
  <c r="E7" i="43"/>
  <c r="B11" i="43" s="1"/>
  <c r="C41" i="43"/>
  <c r="C5" i="43"/>
  <c r="B13" i="44"/>
  <c r="D38" i="44"/>
  <c r="E28" i="44"/>
  <c r="D16" i="44"/>
  <c r="C13" i="45"/>
  <c r="C8" i="45"/>
  <c r="E26" i="44"/>
  <c r="C20" i="46"/>
  <c r="E15" i="44"/>
  <c r="E5" i="44"/>
  <c r="C7" i="46"/>
  <c r="B18" i="44"/>
  <c r="C37" i="46"/>
  <c r="C22" i="40"/>
  <c r="D25" i="41"/>
  <c r="C37" i="41"/>
  <c r="B14" i="41"/>
  <c r="C33" i="42"/>
  <c r="B42" i="43"/>
  <c r="C41" i="44"/>
  <c r="B36" i="44"/>
  <c r="D28" i="40"/>
  <c r="B41" i="40"/>
  <c r="B32" i="40"/>
  <c r="C44" i="40"/>
  <c r="B47" i="40"/>
  <c r="B17" i="40"/>
  <c r="E22" i="40"/>
  <c r="B39" i="40"/>
  <c r="E5" i="40"/>
  <c r="D15" i="40"/>
  <c r="C25" i="40"/>
  <c r="E43" i="40"/>
  <c r="E6" i="41"/>
  <c r="C46" i="40"/>
  <c r="B42" i="40"/>
  <c r="C9" i="40"/>
  <c r="B24" i="40"/>
  <c r="D18" i="40"/>
  <c r="E17" i="40"/>
  <c r="F10" i="40"/>
  <c r="E46" i="41"/>
  <c r="E21" i="41"/>
  <c r="B9" i="41"/>
  <c r="E7" i="40"/>
  <c r="B11" i="40" s="1"/>
  <c r="C47" i="40"/>
  <c r="B46" i="40"/>
  <c r="D25" i="40"/>
  <c r="B27" i="40"/>
  <c r="B22" i="40"/>
  <c r="D45" i="40"/>
  <c r="E36" i="40"/>
  <c r="E6" i="40"/>
  <c r="E28" i="40"/>
  <c r="E4" i="40"/>
  <c r="F7" i="40"/>
  <c r="D29" i="40"/>
  <c r="D16" i="40"/>
  <c r="B36" i="40"/>
  <c r="B30" i="40"/>
  <c r="B8" i="40"/>
  <c r="B25" i="40"/>
  <c r="E11" i="40"/>
  <c r="E19" i="40"/>
  <c r="E37" i="40"/>
  <c r="E46" i="40"/>
  <c r="B45" i="41"/>
  <c r="C30" i="41"/>
  <c r="B21" i="41"/>
  <c r="C33" i="41"/>
  <c r="C45" i="41"/>
  <c r="B34" i="41"/>
  <c r="C29" i="41"/>
  <c r="E14" i="41"/>
  <c r="D7" i="42"/>
  <c r="C18" i="42"/>
  <c r="C44" i="42"/>
  <c r="B28" i="42"/>
  <c r="C27" i="42"/>
  <c r="B37" i="43"/>
  <c r="B15" i="40"/>
  <c r="C41" i="40"/>
  <c r="B18" i="40"/>
  <c r="C11" i="40"/>
  <c r="E27" i="40"/>
  <c r="E8" i="40"/>
  <c r="B35" i="40"/>
  <c r="D19" i="40"/>
  <c r="D42" i="40"/>
  <c r="B44" i="40"/>
  <c r="D34" i="40"/>
  <c r="F8" i="40"/>
  <c r="B45" i="40"/>
  <c r="B28" i="40"/>
  <c r="D12" i="40"/>
  <c r="C29" i="40"/>
  <c r="E38" i="40"/>
  <c r="D5" i="40"/>
  <c r="B20" i="41"/>
  <c r="B46" i="41"/>
  <c r="E34" i="41"/>
  <c r="D24" i="41"/>
  <c r="E13" i="41"/>
  <c r="C35" i="41"/>
  <c r="C46" i="41"/>
  <c r="B44" i="41"/>
  <c r="E33" i="41"/>
  <c r="C9" i="41"/>
  <c r="E19" i="41"/>
  <c r="B15" i="42"/>
  <c r="B36" i="42"/>
  <c r="C20" i="42"/>
  <c r="C46" i="42"/>
  <c r="B30" i="42"/>
  <c r="B32" i="42"/>
  <c r="C29" i="42"/>
  <c r="D22" i="43"/>
  <c r="B39" i="43"/>
  <c r="E13" i="43"/>
  <c r="C43" i="43"/>
  <c r="C6" i="43"/>
  <c r="E8" i="44"/>
  <c r="E7" i="45"/>
  <c r="B11" i="45" s="1"/>
  <c r="D34" i="44"/>
  <c r="E23" i="44"/>
  <c r="D26" i="45"/>
  <c r="C15" i="45"/>
  <c r="C43" i="44"/>
  <c r="E32" i="46"/>
  <c r="B31" i="44"/>
  <c r="C10" i="45"/>
  <c r="C39" i="46"/>
  <c r="B35" i="44"/>
  <c r="E29" i="47"/>
  <c r="B37" i="47"/>
  <c r="C16" i="47"/>
  <c r="C22" i="46"/>
  <c r="B42" i="47"/>
  <c r="E22" i="47"/>
  <c r="B25" i="45"/>
  <c r="B26" i="46"/>
  <c r="B43" i="47"/>
  <c r="C34" i="46"/>
  <c r="B12" i="47"/>
  <c r="C38" i="47"/>
  <c r="C46" i="47"/>
  <c r="B22" i="47"/>
  <c r="B30" i="47"/>
  <c r="B8" i="47"/>
  <c r="C23" i="47"/>
  <c r="E31" i="47"/>
  <c r="B15" i="48"/>
  <c r="D23" i="48"/>
  <c r="B32" i="48"/>
  <c r="B40" i="48"/>
  <c r="E4" i="48"/>
  <c r="B12" i="48"/>
  <c r="C20" i="48"/>
  <c r="C38" i="48"/>
  <c r="C46" i="48"/>
  <c r="B22" i="48"/>
  <c r="B30" i="48"/>
  <c r="E9" i="48"/>
  <c r="C25" i="48"/>
  <c r="B9" i="48"/>
  <c r="B17" i="49"/>
  <c r="D25" i="49"/>
  <c r="B34" i="49"/>
  <c r="B42" i="49"/>
  <c r="E6" i="49"/>
  <c r="C15" i="49"/>
  <c r="C33" i="49"/>
  <c r="C41" i="49"/>
  <c r="B6" i="49"/>
  <c r="B25" i="49"/>
  <c r="C6" i="49"/>
  <c r="C25" i="49"/>
  <c r="B9" i="49"/>
  <c r="B41" i="41"/>
  <c r="C16" i="41"/>
  <c r="C34" i="41"/>
  <c r="C42" i="41"/>
  <c r="D13" i="41"/>
  <c r="D8" i="41"/>
  <c r="C27" i="41"/>
  <c r="E43" i="41"/>
  <c r="B36" i="41"/>
  <c r="B23" i="41"/>
  <c r="B31" i="41"/>
  <c r="C7" i="41"/>
  <c r="F10" i="41"/>
  <c r="B34" i="42"/>
  <c r="D24" i="42"/>
  <c r="B17" i="42"/>
  <c r="C17" i="42"/>
  <c r="C35" i="42"/>
  <c r="C43" i="42"/>
  <c r="C12" i="42"/>
  <c r="B27" i="42"/>
  <c r="C10" i="42"/>
  <c r="D23" i="42"/>
  <c r="E6" i="42"/>
  <c r="C26" i="42"/>
  <c r="D7" i="43"/>
  <c r="B19" i="43"/>
  <c r="D27" i="43"/>
  <c r="B36" i="43"/>
  <c r="B44" i="43"/>
  <c r="E6" i="43"/>
  <c r="C16" i="43"/>
  <c r="C34" i="43"/>
  <c r="C42" i="43"/>
  <c r="B7" i="43"/>
  <c r="B26" i="43"/>
  <c r="C7" i="43"/>
  <c r="C26" i="43"/>
  <c r="C16" i="45"/>
  <c r="E11" i="45"/>
  <c r="C29" i="46"/>
  <c r="E43" i="44"/>
  <c r="B38" i="45"/>
  <c r="B26" i="44"/>
  <c r="E39" i="44"/>
  <c r="D42" i="44"/>
  <c r="C15" i="44"/>
  <c r="C26" i="44"/>
  <c r="C40" i="44"/>
  <c r="C18" i="45"/>
  <c r="D15" i="46"/>
  <c r="B15" i="46"/>
  <c r="B17" i="45"/>
  <c r="B6" i="44"/>
  <c r="C25" i="44"/>
  <c r="D5" i="45"/>
  <c r="C35" i="45"/>
  <c r="C25" i="46"/>
  <c r="D8" i="45"/>
  <c r="F12" i="46"/>
  <c r="E21" i="44"/>
  <c r="C34" i="44"/>
  <c r="D22" i="45"/>
  <c r="F9" i="46"/>
  <c r="C13" i="44"/>
  <c r="C19" i="45"/>
  <c r="E12" i="47"/>
  <c r="F11" i="46"/>
  <c r="F8" i="46"/>
  <c r="B16" i="47"/>
  <c r="B39" i="45"/>
  <c r="B24" i="46"/>
  <c r="B19" i="44"/>
  <c r="B37" i="44"/>
  <c r="B45" i="44"/>
  <c r="B9" i="46"/>
  <c r="B40" i="46"/>
  <c r="B41" i="47"/>
  <c r="E24" i="47"/>
  <c r="E6" i="47"/>
  <c r="B46" i="47"/>
  <c r="E30" i="47"/>
  <c r="B26" i="45"/>
  <c r="E4" i="47"/>
  <c r="B47" i="47"/>
  <c r="B37" i="46"/>
  <c r="B18" i="47"/>
  <c r="C39" i="47"/>
  <c r="C47" i="47"/>
  <c r="B23" i="47"/>
  <c r="B31" i="47"/>
  <c r="B28" i="46"/>
  <c r="C24" i="47"/>
  <c r="C8" i="47"/>
  <c r="B16" i="48"/>
  <c r="D24" i="48"/>
  <c r="B33" i="48"/>
  <c r="B41" i="48"/>
  <c r="E5" i="48"/>
  <c r="F12" i="48"/>
  <c r="E21" i="48"/>
  <c r="C39" i="48"/>
  <c r="C47" i="48"/>
  <c r="B23" i="48"/>
  <c r="B31" i="48"/>
  <c r="E10" i="48"/>
  <c r="C26" i="48"/>
  <c r="F10" i="49"/>
  <c r="B18" i="49"/>
  <c r="D26" i="49"/>
  <c r="B35" i="49"/>
  <c r="B43" i="49"/>
  <c r="E7" i="49"/>
  <c r="B11" i="49" s="1"/>
  <c r="C16" i="49"/>
  <c r="C34" i="49"/>
  <c r="C42" i="49"/>
  <c r="B7" i="49"/>
  <c r="B26" i="49"/>
  <c r="C7" i="49"/>
  <c r="C26" i="49"/>
  <c r="D20" i="46"/>
  <c r="B23" i="44"/>
  <c r="E36" i="44"/>
  <c r="C24" i="45"/>
  <c r="B13" i="46"/>
  <c r="C17" i="44"/>
  <c r="C27" i="45"/>
  <c r="E23" i="47"/>
  <c r="C17" i="46"/>
  <c r="C10" i="46"/>
  <c r="E26" i="47"/>
  <c r="C40" i="45"/>
  <c r="C26" i="46"/>
  <c r="B20" i="44"/>
  <c r="B38" i="44"/>
  <c r="B46" i="44"/>
  <c r="F10" i="46"/>
  <c r="C18" i="47"/>
  <c r="B45" i="47"/>
  <c r="C33" i="47"/>
  <c r="C11" i="47"/>
  <c r="B46" i="46"/>
  <c r="C12" i="45"/>
  <c r="B27" i="45"/>
  <c r="B15" i="47"/>
  <c r="C15" i="46"/>
  <c r="C38" i="46"/>
  <c r="C20" i="47"/>
  <c r="C40" i="47"/>
  <c r="B5" i="47"/>
  <c r="B24" i="47"/>
  <c r="B5" i="46"/>
  <c r="B29" i="46"/>
  <c r="C25" i="47"/>
  <c r="B9" i="47"/>
  <c r="B17" i="48"/>
  <c r="D25" i="48"/>
  <c r="B34" i="48"/>
  <c r="B42" i="48"/>
  <c r="E6" i="48"/>
  <c r="E13" i="48"/>
  <c r="C32" i="48"/>
  <c r="C40" i="48"/>
  <c r="B5" i="48"/>
  <c r="B24" i="48"/>
  <c r="B2" i="48"/>
  <c r="E11" i="48"/>
  <c r="C27" i="48"/>
  <c r="D7" i="49"/>
  <c r="B19" i="49"/>
  <c r="D27" i="49"/>
  <c r="B36" i="49"/>
  <c r="B44" i="49"/>
  <c r="D8" i="49"/>
  <c r="C17" i="49"/>
  <c r="C35" i="49"/>
  <c r="C43" i="49"/>
  <c r="C12" i="49"/>
  <c r="B27" i="49"/>
  <c r="B8" i="49"/>
  <c r="C27" i="49"/>
  <c r="E34" i="40"/>
  <c r="E42" i="40"/>
  <c r="C8" i="40"/>
  <c r="D29" i="41"/>
  <c r="B47" i="41"/>
  <c r="E32" i="41"/>
  <c r="B17" i="41"/>
  <c r="E7" i="41"/>
  <c r="B11" i="41" s="1"/>
  <c r="C18" i="41"/>
  <c r="C36" i="41"/>
  <c r="C44" i="41"/>
  <c r="D22" i="41"/>
  <c r="B6" i="41"/>
  <c r="E31" i="41"/>
  <c r="F11" i="41"/>
  <c r="E4" i="41"/>
  <c r="B25" i="41"/>
  <c r="E16" i="41"/>
  <c r="D5" i="41"/>
  <c r="F10" i="42"/>
  <c r="B40" i="42"/>
  <c r="B33" i="42"/>
  <c r="E5" i="42"/>
  <c r="C19" i="42"/>
  <c r="C37" i="42"/>
  <c r="C45" i="42"/>
  <c r="B14" i="42"/>
  <c r="B29" i="42"/>
  <c r="C6" i="42"/>
  <c r="D27" i="42"/>
  <c r="C13" i="42"/>
  <c r="C28" i="42"/>
  <c r="F11" i="43"/>
  <c r="B21" i="43"/>
  <c r="D29" i="43"/>
  <c r="B38" i="43"/>
  <c r="B46" i="43"/>
  <c r="C9" i="43"/>
  <c r="C18" i="43"/>
  <c r="C36" i="43"/>
  <c r="C44" i="43"/>
  <c r="B13" i="43"/>
  <c r="B28" i="43"/>
  <c r="C13" i="43"/>
  <c r="C28" i="43"/>
  <c r="E18" i="44"/>
  <c r="D28" i="45"/>
  <c r="D45" i="44"/>
  <c r="C29" i="45"/>
  <c r="B38" i="46"/>
  <c r="E7" i="44"/>
  <c r="B11" i="44" s="1"/>
  <c r="B9" i="45"/>
  <c r="F8" i="44"/>
  <c r="E17" i="44"/>
  <c r="B29" i="44"/>
  <c r="C44" i="44"/>
  <c r="B33" i="45"/>
  <c r="C30" i="46"/>
  <c r="E40" i="46"/>
  <c r="D29" i="45"/>
  <c r="E13" i="44"/>
  <c r="B28" i="44"/>
  <c r="D9" i="45"/>
  <c r="C42" i="45"/>
  <c r="E44" i="46"/>
  <c r="D12" i="45"/>
  <c r="B35" i="46"/>
  <c r="C24" i="44"/>
  <c r="C38" i="44"/>
  <c r="C30" i="45"/>
  <c r="B17" i="46"/>
  <c r="E19" i="44"/>
  <c r="C32" i="45"/>
  <c r="B36" i="47"/>
  <c r="C23" i="46"/>
  <c r="C19" i="46"/>
  <c r="C8" i="44"/>
  <c r="B43" i="45"/>
  <c r="C43" i="46"/>
  <c r="B21" i="44"/>
  <c r="B39" i="44"/>
  <c r="B47" i="44"/>
  <c r="C12" i="46"/>
  <c r="C24" i="46"/>
  <c r="C40" i="46"/>
  <c r="C5" i="46"/>
  <c r="B17" i="47"/>
  <c r="C47" i="46"/>
  <c r="B13" i="45"/>
  <c r="B28" i="45"/>
  <c r="C17" i="47"/>
  <c r="B21" i="46"/>
  <c r="B41" i="46"/>
  <c r="E28" i="47"/>
  <c r="C41" i="47"/>
  <c r="B6" i="47"/>
  <c r="B25" i="47"/>
  <c r="B6" i="46"/>
  <c r="B30" i="46"/>
  <c r="C26" i="47"/>
  <c r="D7" i="48"/>
  <c r="B18" i="48"/>
  <c r="D26" i="48"/>
  <c r="B35" i="48"/>
  <c r="B43" i="48"/>
  <c r="E7" i="48"/>
  <c r="B11" i="48" s="1"/>
  <c r="C15" i="48"/>
  <c r="C33" i="48"/>
  <c r="C41" i="48"/>
  <c r="B6" i="48"/>
  <c r="B25" i="48"/>
  <c r="C5" i="48"/>
  <c r="C13" i="48"/>
  <c r="C28" i="48"/>
  <c r="F11" i="49"/>
  <c r="B20" i="49"/>
  <c r="D28" i="49"/>
  <c r="B37" i="49"/>
  <c r="B45" i="49"/>
  <c r="C9" i="49"/>
  <c r="C18" i="49"/>
  <c r="C36" i="49"/>
  <c r="C44" i="49"/>
  <c r="B13" i="49"/>
  <c r="B28" i="49"/>
  <c r="C13" i="49"/>
  <c r="C28" i="49"/>
  <c r="C10" i="43"/>
  <c r="C19" i="43"/>
  <c r="C37" i="43"/>
  <c r="C45" i="43"/>
  <c r="B14" i="43"/>
  <c r="B29" i="43"/>
  <c r="E14" i="43"/>
  <c r="C29" i="43"/>
  <c r="E35" i="44"/>
  <c r="D6" i="45"/>
  <c r="C16" i="44"/>
  <c r="C43" i="45"/>
  <c r="E45" i="44"/>
  <c r="B12" i="44"/>
  <c r="B21" i="45"/>
  <c r="B15" i="45"/>
  <c r="C19" i="44"/>
  <c r="C30" i="44"/>
  <c r="E46" i="44"/>
  <c r="C38" i="45"/>
  <c r="C10" i="47"/>
  <c r="E4" i="44"/>
  <c r="E31" i="45"/>
  <c r="E16" i="44"/>
  <c r="C29" i="44"/>
  <c r="D13" i="45"/>
  <c r="B44" i="45"/>
  <c r="B21" i="47"/>
  <c r="C17" i="45"/>
  <c r="D29" i="47"/>
  <c r="E25" i="44"/>
  <c r="C42" i="44"/>
  <c r="B34" i="45"/>
  <c r="E20" i="46"/>
  <c r="E29" i="44"/>
  <c r="D27" i="46"/>
  <c r="C33" i="46"/>
  <c r="C36" i="46"/>
  <c r="E21" i="46"/>
  <c r="B9" i="44"/>
  <c r="C44" i="45"/>
  <c r="B44" i="47"/>
  <c r="B32" i="44"/>
  <c r="B40" i="44"/>
  <c r="B7" i="45"/>
  <c r="B14" i="46"/>
  <c r="F12" i="47"/>
  <c r="B43" i="46"/>
  <c r="C9" i="46"/>
  <c r="C19" i="47"/>
  <c r="C9" i="47"/>
  <c r="B14" i="45"/>
  <c r="B29" i="45"/>
  <c r="E25" i="47"/>
  <c r="B25" i="46"/>
  <c r="C42" i="46"/>
  <c r="C34" i="47"/>
  <c r="C42" i="47"/>
  <c r="B7" i="47"/>
  <c r="B26" i="47"/>
  <c r="B7" i="46"/>
  <c r="B31" i="46"/>
  <c r="C27" i="47"/>
  <c r="F10" i="48"/>
  <c r="B19" i="48"/>
  <c r="D27" i="48"/>
  <c r="B36" i="48"/>
  <c r="B44" i="48"/>
  <c r="D8" i="48"/>
  <c r="C16" i="48"/>
  <c r="C34" i="48"/>
  <c r="C42" i="48"/>
  <c r="B7" i="48"/>
  <c r="B26" i="48"/>
  <c r="C6" i="48"/>
  <c r="E14" i="48"/>
  <c r="C29" i="48"/>
  <c r="E12" i="49"/>
  <c r="B21" i="49"/>
  <c r="D29" i="49"/>
  <c r="B38" i="49"/>
  <c r="B46" i="49"/>
  <c r="C10" i="49"/>
  <c r="C19" i="49"/>
  <c r="C37" i="49"/>
  <c r="C45" i="49"/>
  <c r="B14" i="49"/>
  <c r="B29" i="49"/>
  <c r="E14" i="49"/>
  <c r="C29" i="49"/>
  <c r="C13" i="41"/>
  <c r="E35" i="41"/>
  <c r="B19" i="41"/>
  <c r="C12" i="41"/>
  <c r="B27" i="41"/>
  <c r="C24" i="41"/>
  <c r="D7" i="41"/>
  <c r="B19" i="42"/>
  <c r="B44" i="42"/>
  <c r="B39" i="42"/>
  <c r="C11" i="42"/>
  <c r="E21" i="42"/>
  <c r="C39" i="42"/>
  <c r="C47" i="42"/>
  <c r="B23" i="42"/>
  <c r="B31" i="42"/>
  <c r="B8" i="42"/>
  <c r="B35" i="42"/>
  <c r="C22" i="42"/>
  <c r="C30" i="42"/>
  <c r="D13" i="43"/>
  <c r="D23" i="43"/>
  <c r="B32" i="43"/>
  <c r="B40" i="43"/>
  <c r="E4" i="43"/>
  <c r="C11" i="43"/>
  <c r="C20" i="43"/>
  <c r="C38" i="43"/>
  <c r="C46" i="43"/>
  <c r="B22" i="43"/>
  <c r="B30" i="43"/>
  <c r="C22" i="43"/>
  <c r="C30" i="43"/>
  <c r="B5" i="45"/>
  <c r="C41" i="45"/>
  <c r="B22" i="44"/>
  <c r="B8" i="46"/>
  <c r="E6" i="44"/>
  <c r="D17" i="44"/>
  <c r="E32" i="45"/>
  <c r="C34" i="45"/>
  <c r="D20" i="44"/>
  <c r="C32" i="44"/>
  <c r="C5" i="45"/>
  <c r="B40" i="45"/>
  <c r="C23" i="45"/>
  <c r="B7" i="44"/>
  <c r="D12" i="46"/>
  <c r="C18" i="44"/>
  <c r="C35" i="44"/>
  <c r="C20" i="45"/>
  <c r="B46" i="45"/>
  <c r="E12" i="44"/>
  <c r="D25" i="45"/>
  <c r="C6" i="44"/>
  <c r="B27" i="44"/>
  <c r="C46" i="44"/>
  <c r="C37" i="45"/>
  <c r="B27" i="46"/>
  <c r="C5" i="44"/>
  <c r="E37" i="46"/>
  <c r="B36" i="46"/>
  <c r="B39" i="46"/>
  <c r="C28" i="46"/>
  <c r="B20" i="45"/>
  <c r="B47" i="45"/>
  <c r="B15" i="44"/>
  <c r="B33" i="44"/>
  <c r="B41" i="44"/>
  <c r="B8" i="45"/>
  <c r="B18" i="46"/>
  <c r="B19" i="47"/>
  <c r="C44" i="46"/>
  <c r="C13" i="46"/>
  <c r="E27" i="47"/>
  <c r="F11" i="47"/>
  <c r="B22" i="45"/>
  <c r="B30" i="45"/>
  <c r="B32" i="47"/>
  <c r="C27" i="46"/>
  <c r="B45" i="46"/>
  <c r="C35" i="47"/>
  <c r="C43" i="47"/>
  <c r="C12" i="47"/>
  <c r="B27" i="47"/>
  <c r="C5" i="47"/>
  <c r="C13" i="47"/>
  <c r="C28" i="47"/>
  <c r="F11" i="48"/>
  <c r="B20" i="48"/>
  <c r="D28" i="48"/>
  <c r="B37" i="48"/>
  <c r="B45" i="48"/>
  <c r="C9" i="48"/>
  <c r="C17" i="48"/>
  <c r="C35" i="48"/>
  <c r="C43" i="48"/>
  <c r="C12" i="48"/>
  <c r="B27" i="48"/>
  <c r="C7" i="48"/>
  <c r="C22" i="48"/>
  <c r="C30" i="48"/>
  <c r="D13" i="49"/>
  <c r="D22" i="49"/>
  <c r="D30" i="49"/>
  <c r="B39" i="49"/>
  <c r="B47" i="49"/>
  <c r="C11" i="49"/>
  <c r="C20" i="49"/>
  <c r="C38" i="49"/>
  <c r="C46" i="49"/>
  <c r="B22" i="49"/>
  <c r="B30" i="49"/>
  <c r="C22" i="49"/>
  <c r="C30" i="49"/>
  <c r="E37" i="41"/>
  <c r="D23" i="41"/>
  <c r="B13" i="41"/>
  <c r="B28" i="41"/>
  <c r="E36" i="41"/>
  <c r="C8" i="41"/>
  <c r="D22" i="42"/>
  <c r="D13" i="42"/>
  <c r="B42" i="42"/>
  <c r="B12" i="42"/>
  <c r="C32" i="42"/>
  <c r="C40" i="42"/>
  <c r="B5" i="42"/>
  <c r="B24" i="42"/>
  <c r="B47" i="42"/>
  <c r="E12" i="42"/>
  <c r="B38" i="42"/>
  <c r="C23" i="42"/>
  <c r="E31" i="42"/>
  <c r="B15" i="43"/>
  <c r="D24" i="43"/>
  <c r="B33" i="43"/>
  <c r="B41" i="43"/>
  <c r="E5" i="43"/>
  <c r="B12" i="43"/>
  <c r="E21" i="43"/>
  <c r="C39" i="43"/>
  <c r="C47" i="43"/>
  <c r="B23" i="43"/>
  <c r="B31" i="43"/>
  <c r="C23" i="43"/>
  <c r="E31" i="43"/>
  <c r="B36" i="45"/>
  <c r="B30" i="44"/>
  <c r="C27" i="44"/>
  <c r="E24" i="44"/>
  <c r="D30" i="45"/>
  <c r="C23" i="44"/>
  <c r="C47" i="45"/>
  <c r="D18" i="46"/>
  <c r="C22" i="44"/>
  <c r="E34" i="44"/>
  <c r="C9" i="45"/>
  <c r="B42" i="45"/>
  <c r="E27" i="45"/>
  <c r="C10" i="44"/>
  <c r="C32" i="46"/>
  <c r="E20" i="44"/>
  <c r="C39" i="44"/>
  <c r="C22" i="45"/>
  <c r="C6" i="46"/>
  <c r="B5" i="44"/>
  <c r="B32" i="45"/>
  <c r="E11" i="44"/>
  <c r="C28" i="44"/>
  <c r="B6" i="45"/>
  <c r="C39" i="45"/>
  <c r="C35" i="46"/>
  <c r="C6" i="45"/>
  <c r="B33" i="47"/>
  <c r="B42" i="46"/>
  <c r="C15" i="47"/>
  <c r="B34" i="46"/>
  <c r="C26" i="45"/>
  <c r="F7" i="46"/>
  <c r="B16" i="44"/>
  <c r="B34" i="44"/>
  <c r="B42" i="44"/>
  <c r="B19" i="45"/>
  <c r="B20" i="46"/>
  <c r="E21" i="47"/>
  <c r="B47" i="46"/>
  <c r="B16" i="46"/>
  <c r="B34" i="47"/>
  <c r="E13" i="47"/>
  <c r="B23" i="45"/>
  <c r="B31" i="45"/>
  <c r="B35" i="47"/>
  <c r="E31" i="46"/>
  <c r="C46" i="46"/>
  <c r="C36" i="47"/>
  <c r="C44" i="47"/>
  <c r="B13" i="47"/>
  <c r="B28" i="47"/>
  <c r="C6" i="47"/>
  <c r="E14" i="47"/>
  <c r="C29" i="47"/>
  <c r="E12" i="48"/>
  <c r="B21" i="48"/>
  <c r="D29" i="48"/>
  <c r="B38" i="48"/>
  <c r="B46" i="48"/>
  <c r="C10" i="48"/>
  <c r="C18" i="48"/>
  <c r="C36" i="48"/>
  <c r="C44" i="48"/>
  <c r="B13" i="48"/>
  <c r="B28" i="48"/>
  <c r="B8" i="48"/>
  <c r="C23" i="48"/>
  <c r="E31" i="48"/>
  <c r="B15" i="49"/>
  <c r="D23" i="49"/>
  <c r="B32" i="49"/>
  <c r="B40" i="49"/>
  <c r="E4" i="49"/>
  <c r="B12" i="49"/>
  <c r="E21" i="49"/>
  <c r="C39" i="49"/>
  <c r="C47" i="49"/>
  <c r="B23" i="49"/>
  <c r="B31" i="49"/>
  <c r="C23" i="49"/>
  <c r="E31" i="49"/>
  <c r="F10" i="47"/>
  <c r="C18" i="46"/>
  <c r="B38" i="47"/>
  <c r="B20" i="47"/>
  <c r="B24" i="45"/>
  <c r="C16" i="46"/>
  <c r="B39" i="47"/>
  <c r="B33" i="46"/>
  <c r="E7" i="47"/>
  <c r="B11" i="47" s="1"/>
  <c r="C37" i="47"/>
  <c r="C45" i="47"/>
  <c r="B14" i="47"/>
  <c r="B29" i="47"/>
  <c r="C7" i="47"/>
  <c r="C22" i="47"/>
  <c r="C30" i="47"/>
  <c r="D13" i="48"/>
  <c r="D22" i="48"/>
  <c r="D30" i="48"/>
  <c r="B39" i="48"/>
  <c r="B47" i="48"/>
  <c r="C11" i="48"/>
  <c r="C19" i="48"/>
  <c r="C37" i="48"/>
  <c r="C45" i="48"/>
  <c r="B14" i="48"/>
  <c r="B29" i="48"/>
  <c r="F8" i="48"/>
  <c r="C24" i="48"/>
  <c r="C8" i="48"/>
  <c r="B16" i="49"/>
  <c r="D24" i="49"/>
  <c r="B33" i="49"/>
  <c r="B41" i="49"/>
  <c r="E5" i="49"/>
  <c r="E13" i="49"/>
  <c r="C32" i="49"/>
  <c r="C40" i="49"/>
  <c r="B5" i="49"/>
  <c r="B24" i="49"/>
  <c r="C5" i="49"/>
  <c r="C24" i="49"/>
  <c r="C8" i="49"/>
  <c r="E9" i="49"/>
  <c r="E45" i="49"/>
  <c r="E37" i="49"/>
  <c r="E18" i="49"/>
  <c r="F8" i="49"/>
  <c r="D41" i="49"/>
  <c r="D33" i="49"/>
  <c r="D11" i="49"/>
  <c r="E27" i="49"/>
  <c r="E44" i="49"/>
  <c r="E36" i="49"/>
  <c r="E17" i="49"/>
  <c r="B2" i="49"/>
  <c r="D40" i="49"/>
  <c r="D32" i="49"/>
  <c r="D10" i="49"/>
  <c r="E26" i="49"/>
  <c r="D34" i="49"/>
  <c r="E28" i="49"/>
  <c r="E43" i="49"/>
  <c r="E35" i="49"/>
  <c r="E16" i="49"/>
  <c r="D39" i="49"/>
  <c r="D20" i="49"/>
  <c r="D9" i="49"/>
  <c r="E25" i="49"/>
  <c r="D42" i="49"/>
  <c r="D15" i="49"/>
  <c r="E42" i="49"/>
  <c r="E34" i="49"/>
  <c r="E15" i="49"/>
  <c r="D46" i="49"/>
  <c r="D38" i="49"/>
  <c r="D19" i="49"/>
  <c r="E8" i="49"/>
  <c r="E24" i="49"/>
  <c r="E19" i="49"/>
  <c r="F9" i="49"/>
  <c r="E41" i="49"/>
  <c r="E33" i="49"/>
  <c r="D12" i="49"/>
  <c r="D45" i="49"/>
  <c r="D37" i="49"/>
  <c r="D18" i="49"/>
  <c r="F7" i="49"/>
  <c r="E23" i="49"/>
  <c r="E38" i="49"/>
  <c r="D6" i="49"/>
  <c r="E40" i="49"/>
  <c r="E32" i="49"/>
  <c r="E11" i="49"/>
  <c r="D44" i="49"/>
  <c r="D36" i="49"/>
  <c r="D17" i="49"/>
  <c r="E30" i="49"/>
  <c r="E22" i="49"/>
  <c r="E46" i="49"/>
  <c r="D5" i="49"/>
  <c r="E39" i="49"/>
  <c r="E20" i="49"/>
  <c r="E10" i="49"/>
  <c r="D43" i="49"/>
  <c r="D35" i="49"/>
  <c r="D16" i="49"/>
  <c r="E29" i="49"/>
  <c r="F12" i="49"/>
  <c r="E46" i="48"/>
  <c r="E45" i="48"/>
  <c r="E37" i="48"/>
  <c r="E18" i="48"/>
  <c r="D44" i="48"/>
  <c r="D36" i="48"/>
  <c r="D17" i="48"/>
  <c r="E30" i="48"/>
  <c r="E22" i="48"/>
  <c r="D37" i="48"/>
  <c r="F7" i="48"/>
  <c r="E44" i="48"/>
  <c r="E36" i="48"/>
  <c r="E17" i="48"/>
  <c r="D43" i="48"/>
  <c r="D35" i="48"/>
  <c r="D16" i="48"/>
  <c r="E29" i="48"/>
  <c r="D18" i="48"/>
  <c r="E23" i="48"/>
  <c r="E43" i="48"/>
  <c r="E35" i="48"/>
  <c r="E16" i="48"/>
  <c r="D42" i="48"/>
  <c r="D34" i="48"/>
  <c r="D15" i="48"/>
  <c r="E28" i="48"/>
  <c r="E42" i="48"/>
  <c r="E34" i="48"/>
  <c r="E15" i="48"/>
  <c r="D41" i="48"/>
  <c r="D33" i="48"/>
  <c r="D11" i="48"/>
  <c r="E27" i="48"/>
  <c r="D45" i="48"/>
  <c r="F9" i="48"/>
  <c r="E41" i="48"/>
  <c r="E33" i="48"/>
  <c r="D12" i="48"/>
  <c r="D40" i="48"/>
  <c r="D32" i="48"/>
  <c r="D10" i="48"/>
  <c r="E26" i="48"/>
  <c r="E19" i="48"/>
  <c r="D6" i="48"/>
  <c r="E40" i="48"/>
  <c r="E32" i="48"/>
  <c r="D39" i="48"/>
  <c r="D20" i="48"/>
  <c r="D9" i="48"/>
  <c r="E25" i="48"/>
  <c r="E38" i="48"/>
  <c r="D5" i="48"/>
  <c r="E39" i="48"/>
  <c r="E20" i="48"/>
  <c r="D46" i="48"/>
  <c r="D38" i="48"/>
  <c r="D19" i="48"/>
  <c r="E8" i="48"/>
  <c r="E24" i="48"/>
  <c r="E33" i="47"/>
  <c r="D27" i="45"/>
  <c r="D8" i="46"/>
  <c r="E44" i="44"/>
  <c r="E43" i="45"/>
  <c r="E40" i="47"/>
  <c r="E32" i="47"/>
  <c r="E10" i="47"/>
  <c r="D13" i="47"/>
  <c r="D10" i="47"/>
  <c r="D32" i="47"/>
  <c r="D40" i="47"/>
  <c r="D12" i="47"/>
  <c r="D11" i="45"/>
  <c r="D33" i="45"/>
  <c r="D41" i="45"/>
  <c r="E5" i="46"/>
  <c r="E15" i="46"/>
  <c r="E24" i="46"/>
  <c r="E39" i="46"/>
  <c r="D26" i="46"/>
  <c r="D22" i="46"/>
  <c r="D35" i="46"/>
  <c r="D43" i="46"/>
  <c r="E12" i="45"/>
  <c r="F10" i="44"/>
  <c r="D43" i="44"/>
  <c r="D10" i="44"/>
  <c r="D40" i="44"/>
  <c r="D12" i="44"/>
  <c r="D24" i="44"/>
  <c r="F7" i="45"/>
  <c r="E36" i="45"/>
  <c r="E13" i="45"/>
  <c r="E16" i="45"/>
  <c r="E41" i="47"/>
  <c r="E35" i="46"/>
  <c r="E9" i="45"/>
  <c r="E45" i="45"/>
  <c r="F9" i="47"/>
  <c r="E39" i="47"/>
  <c r="E20" i="47"/>
  <c r="E9" i="47"/>
  <c r="D22" i="47"/>
  <c r="D11" i="47"/>
  <c r="D33" i="47"/>
  <c r="D41" i="47"/>
  <c r="D5" i="47"/>
  <c r="D15" i="45"/>
  <c r="D34" i="45"/>
  <c r="D42" i="45"/>
  <c r="E46" i="46"/>
  <c r="E41" i="46"/>
  <c r="E6" i="46"/>
  <c r="E43" i="46"/>
  <c r="D7" i="46"/>
  <c r="D16" i="46"/>
  <c r="D36" i="46"/>
  <c r="D44" i="46"/>
  <c r="E8" i="45"/>
  <c r="F11" i="44"/>
  <c r="E40" i="44"/>
  <c r="E40" i="45"/>
  <c r="E37" i="44"/>
  <c r="D11" i="44"/>
  <c r="D25" i="44"/>
  <c r="F8" i="45"/>
  <c r="E34" i="45"/>
  <c r="E17" i="45"/>
  <c r="E29" i="45"/>
  <c r="D9" i="47"/>
  <c r="E19" i="46"/>
  <c r="E20" i="45"/>
  <c r="E6" i="45"/>
  <c r="E46" i="47"/>
  <c r="E38" i="47"/>
  <c r="E19" i="47"/>
  <c r="F8" i="47"/>
  <c r="D30" i="47"/>
  <c r="D15" i="47"/>
  <c r="D34" i="47"/>
  <c r="D42" i="47"/>
  <c r="D6" i="47"/>
  <c r="D16" i="45"/>
  <c r="D35" i="45"/>
  <c r="D43" i="45"/>
  <c r="E42" i="46"/>
  <c r="E45" i="46"/>
  <c r="E9" i="46"/>
  <c r="D11" i="46"/>
  <c r="D28" i="46"/>
  <c r="D37" i="46"/>
  <c r="D45" i="46"/>
  <c r="E10" i="44"/>
  <c r="E44" i="45"/>
  <c r="D39" i="44"/>
  <c r="E38" i="45"/>
  <c r="D36" i="44"/>
  <c r="D5" i="44"/>
  <c r="D26" i="44"/>
  <c r="F10" i="45"/>
  <c r="E24" i="45"/>
  <c r="E22" i="45"/>
  <c r="D41" i="44"/>
  <c r="D20" i="47"/>
  <c r="E17" i="46"/>
  <c r="F9" i="44"/>
  <c r="E5" i="45"/>
  <c r="E45" i="47"/>
  <c r="E37" i="47"/>
  <c r="E18" i="47"/>
  <c r="B2" i="47"/>
  <c r="D25" i="47"/>
  <c r="D16" i="47"/>
  <c r="D35" i="47"/>
  <c r="D43" i="47"/>
  <c r="D7" i="47"/>
  <c r="D17" i="45"/>
  <c r="D36" i="45"/>
  <c r="D44" i="45"/>
  <c r="E36" i="46"/>
  <c r="E26" i="46"/>
  <c r="E12" i="46"/>
  <c r="E8" i="46"/>
  <c r="D19" i="46"/>
  <c r="D9" i="46"/>
  <c r="D38" i="46"/>
  <c r="D46" i="46"/>
  <c r="D9" i="44"/>
  <c r="E42" i="45"/>
  <c r="D35" i="44"/>
  <c r="E26" i="45"/>
  <c r="E33" i="44"/>
  <c r="D6" i="44"/>
  <c r="D27" i="44"/>
  <c r="F11" i="45"/>
  <c r="E19" i="45"/>
  <c r="E30" i="45"/>
  <c r="D37" i="44"/>
  <c r="E11" i="47"/>
  <c r="D32" i="45"/>
  <c r="D42" i="46"/>
  <c r="D23" i="44"/>
  <c r="E44" i="47"/>
  <c r="E36" i="47"/>
  <c r="E17" i="47"/>
  <c r="E8" i="47"/>
  <c r="D28" i="47"/>
  <c r="D17" i="47"/>
  <c r="D36" i="47"/>
  <c r="D44" i="47"/>
  <c r="E34" i="46"/>
  <c r="D18" i="45"/>
  <c r="D37" i="45"/>
  <c r="D45" i="45"/>
  <c r="E30" i="46"/>
  <c r="E7" i="46"/>
  <c r="B11" i="46" s="1"/>
  <c r="E18" i="46"/>
  <c r="D30" i="46"/>
  <c r="D24" i="46"/>
  <c r="D10" i="46"/>
  <c r="D39" i="46"/>
  <c r="D8" i="44"/>
  <c r="E35" i="45"/>
  <c r="D18" i="44"/>
  <c r="E15" i="45"/>
  <c r="D32" i="44"/>
  <c r="D7" i="44"/>
  <c r="D28" i="44"/>
  <c r="F9" i="45"/>
  <c r="E10" i="45"/>
  <c r="E33" i="45"/>
  <c r="D33" i="44"/>
  <c r="D27" i="47"/>
  <c r="D40" i="45"/>
  <c r="D34" i="46"/>
  <c r="D15" i="44"/>
  <c r="E43" i="47"/>
  <c r="E35" i="47"/>
  <c r="E16" i="47"/>
  <c r="F7" i="47"/>
  <c r="D23" i="47"/>
  <c r="D18" i="47"/>
  <c r="D37" i="47"/>
  <c r="D45" i="47"/>
  <c r="E28" i="46"/>
  <c r="D19" i="45"/>
  <c r="D38" i="45"/>
  <c r="D46" i="45"/>
  <c r="E25" i="46"/>
  <c r="E10" i="46"/>
  <c r="E23" i="46"/>
  <c r="E27" i="46"/>
  <c r="D5" i="46"/>
  <c r="D32" i="46"/>
  <c r="D40" i="46"/>
  <c r="E38" i="46"/>
  <c r="B2" i="44"/>
  <c r="E28" i="45"/>
  <c r="E23" i="45"/>
  <c r="B2" i="45"/>
  <c r="E30" i="44"/>
  <c r="D13" i="44"/>
  <c r="D29" i="44"/>
  <c r="F12" i="45"/>
  <c r="E46" i="45"/>
  <c r="E37" i="45"/>
  <c r="D39" i="47"/>
  <c r="E13" i="46"/>
  <c r="D17" i="46"/>
  <c r="E41" i="44"/>
  <c r="E42" i="47"/>
  <c r="E34" i="47"/>
  <c r="E15" i="47"/>
  <c r="D8" i="47"/>
  <c r="D26" i="47"/>
  <c r="D19" i="47"/>
  <c r="D38" i="47"/>
  <c r="D46" i="47"/>
  <c r="B2" i="46"/>
  <c r="D20" i="45"/>
  <c r="D39" i="45"/>
  <c r="D23" i="46"/>
  <c r="E11" i="46"/>
  <c r="E29" i="46"/>
  <c r="D25" i="46"/>
  <c r="D13" i="46"/>
  <c r="D33" i="46"/>
  <c r="D41" i="46"/>
  <c r="E25" i="45"/>
  <c r="F12" i="44"/>
  <c r="E18" i="45"/>
  <c r="D44" i="44"/>
  <c r="D19" i="44"/>
  <c r="D22" i="44"/>
  <c r="D30" i="44"/>
  <c r="E4" i="45"/>
  <c r="E41" i="45"/>
  <c r="D34" i="43"/>
  <c r="D15" i="43"/>
  <c r="E45" i="43"/>
  <c r="E37" i="43"/>
  <c r="E18" i="43"/>
  <c r="F8" i="43"/>
  <c r="D41" i="43"/>
  <c r="D33" i="43"/>
  <c r="D11" i="43"/>
  <c r="E27" i="43"/>
  <c r="D42" i="43"/>
  <c r="E28" i="43"/>
  <c r="E44" i="43"/>
  <c r="E36" i="43"/>
  <c r="E17" i="43"/>
  <c r="B2" i="43"/>
  <c r="D40" i="43"/>
  <c r="D32" i="43"/>
  <c r="D10" i="43"/>
  <c r="E26" i="43"/>
  <c r="E46" i="43"/>
  <c r="E43" i="43"/>
  <c r="E35" i="43"/>
  <c r="E16" i="43"/>
  <c r="D39" i="43"/>
  <c r="D20" i="43"/>
  <c r="D9" i="43"/>
  <c r="E25" i="43"/>
  <c r="E38" i="43"/>
  <c r="E42" i="43"/>
  <c r="D46" i="43"/>
  <c r="D38" i="43"/>
  <c r="D19" i="43"/>
  <c r="E8" i="43"/>
  <c r="E24" i="43"/>
  <c r="E34" i="43"/>
  <c r="F9" i="43"/>
  <c r="E41" i="43"/>
  <c r="E33" i="43"/>
  <c r="D12" i="43"/>
  <c r="D45" i="43"/>
  <c r="D37" i="43"/>
  <c r="D18" i="43"/>
  <c r="F7" i="43"/>
  <c r="E23" i="43"/>
  <c r="E9" i="43"/>
  <c r="E15" i="43"/>
  <c r="E40" i="43"/>
  <c r="D44" i="43"/>
  <c r="D17" i="43"/>
  <c r="E22" i="43"/>
  <c r="E19" i="43"/>
  <c r="D6" i="43"/>
  <c r="E32" i="43"/>
  <c r="E11" i="43"/>
  <c r="D36" i="43"/>
  <c r="E30" i="43"/>
  <c r="D5" i="43"/>
  <c r="E39" i="43"/>
  <c r="E20" i="43"/>
  <c r="E10" i="43"/>
  <c r="D43" i="43"/>
  <c r="D35" i="43"/>
  <c r="D16" i="43"/>
  <c r="E29" i="43"/>
  <c r="F12" i="43"/>
  <c r="E19" i="42"/>
  <c r="E28" i="42"/>
  <c r="E45" i="42"/>
  <c r="E37" i="42"/>
  <c r="E18" i="42"/>
  <c r="F8" i="42"/>
  <c r="D41" i="42"/>
  <c r="D33" i="42"/>
  <c r="D11" i="42"/>
  <c r="E27" i="42"/>
  <c r="E38" i="42"/>
  <c r="D15" i="42"/>
  <c r="E44" i="42"/>
  <c r="E36" i="42"/>
  <c r="E17" i="42"/>
  <c r="B2" i="42"/>
  <c r="D40" i="42"/>
  <c r="D32" i="42"/>
  <c r="D10" i="42"/>
  <c r="E26" i="42"/>
  <c r="F12" i="42"/>
  <c r="E43" i="42"/>
  <c r="E35" i="42"/>
  <c r="E16" i="42"/>
  <c r="D39" i="42"/>
  <c r="D20" i="42"/>
  <c r="D9" i="42"/>
  <c r="E25" i="42"/>
  <c r="E42" i="42"/>
  <c r="E34" i="42"/>
  <c r="E15" i="42"/>
  <c r="D46" i="42"/>
  <c r="D38" i="42"/>
  <c r="D19" i="42"/>
  <c r="E8" i="42"/>
  <c r="E24" i="42"/>
  <c r="D34" i="42"/>
  <c r="F9" i="42"/>
  <c r="E41" i="42"/>
  <c r="E33" i="42"/>
  <c r="D12" i="42"/>
  <c r="D45" i="42"/>
  <c r="D37" i="42"/>
  <c r="D18" i="42"/>
  <c r="F7" i="42"/>
  <c r="E23" i="42"/>
  <c r="D42" i="42"/>
  <c r="E40" i="42"/>
  <c r="E11" i="42"/>
  <c r="D44" i="42"/>
  <c r="D17" i="42"/>
  <c r="E30" i="42"/>
  <c r="E22" i="42"/>
  <c r="E46" i="42"/>
  <c r="E9" i="42"/>
  <c r="D6" i="42"/>
  <c r="E32" i="42"/>
  <c r="D36" i="42"/>
  <c r="D5" i="42"/>
  <c r="E39" i="42"/>
  <c r="E20" i="42"/>
  <c r="E10" i="42"/>
  <c r="D43" i="42"/>
  <c r="D35" i="42"/>
  <c r="D16" i="42"/>
  <c r="E29" i="42"/>
  <c r="E13" i="42"/>
  <c r="D9" i="41"/>
  <c r="D46" i="41"/>
  <c r="D38" i="41"/>
  <c r="D19" i="41"/>
  <c r="E8" i="41"/>
  <c r="E24" i="41"/>
  <c r="D20" i="41"/>
  <c r="D37" i="41"/>
  <c r="D18" i="41"/>
  <c r="F7" i="41"/>
  <c r="E23" i="41"/>
  <c r="E25" i="41"/>
  <c r="D17" i="41"/>
  <c r="D39" i="41"/>
  <c r="E29" i="41"/>
  <c r="D36" i="41"/>
  <c r="E30" i="41"/>
  <c r="D43" i="41"/>
  <c r="D35" i="41"/>
  <c r="D16" i="41"/>
  <c r="D15" i="41"/>
  <c r="D45" i="41"/>
  <c r="D44" i="41"/>
  <c r="E22" i="41"/>
  <c r="F12" i="41"/>
  <c r="B2" i="41"/>
  <c r="D42" i="41"/>
  <c r="D34" i="41"/>
  <c r="E28" i="41"/>
  <c r="E10" i="41"/>
  <c r="D41" i="41"/>
  <c r="D33" i="41"/>
  <c r="D11" i="41"/>
  <c r="E27" i="41"/>
  <c r="E9" i="41"/>
  <c r="D40" i="41"/>
  <c r="D32" i="41"/>
  <c r="D10" i="41"/>
  <c r="E26" i="41"/>
  <c r="AN43" i="1"/>
  <c r="AO42" i="1"/>
  <c r="AK43" i="1"/>
  <c r="AL42" i="1"/>
  <c r="AH43" i="1"/>
  <c r="AI42" i="1"/>
  <c r="AE41" i="1"/>
  <c r="AB41" i="1"/>
  <c r="Y41" i="1"/>
  <c r="V41" i="1"/>
  <c r="S41" i="1"/>
  <c r="P41" i="1"/>
  <c r="M41" i="1"/>
  <c r="J41" i="1"/>
  <c r="G41" i="1"/>
  <c r="D41" i="1"/>
  <c r="AN45" i="1" l="1"/>
  <c r="AO45" i="1" s="1"/>
  <c r="AO43" i="1"/>
  <c r="AK45" i="1"/>
  <c r="AL45" i="1" s="1"/>
  <c r="AL43" i="1"/>
  <c r="AH45" i="1"/>
  <c r="AI45" i="1" s="1"/>
  <c r="AI43" i="1"/>
  <c r="AE16" i="1"/>
  <c r="AE39" i="1" s="1"/>
  <c r="AB16" i="1"/>
  <c r="Y16" i="1"/>
  <c r="G38" i="1"/>
  <c r="J38" i="1"/>
  <c r="M38" i="1"/>
  <c r="P38" i="1"/>
  <c r="S38" i="1"/>
  <c r="V38" i="1"/>
  <c r="Y38" i="1"/>
  <c r="AB38" i="1"/>
  <c r="AE38" i="1"/>
  <c r="G27" i="1"/>
  <c r="J27" i="1"/>
  <c r="M27" i="1"/>
  <c r="P27" i="1"/>
  <c r="S27" i="1"/>
  <c r="V27" i="1"/>
  <c r="Y27" i="1"/>
  <c r="AB27" i="1"/>
  <c r="AE27" i="1"/>
  <c r="G17" i="1"/>
  <c r="J17" i="1"/>
  <c r="M17" i="1"/>
  <c r="P17" i="1"/>
  <c r="S17" i="1"/>
  <c r="V17" i="1"/>
  <c r="Y17" i="1"/>
  <c r="AB17" i="1"/>
  <c r="AE17" i="1"/>
  <c r="V16" i="1"/>
  <c r="S16" i="1"/>
  <c r="P16" i="1"/>
  <c r="M16" i="1"/>
  <c r="M39" i="1" s="1"/>
  <c r="J16" i="1"/>
  <c r="G16" i="1"/>
  <c r="G10" i="1"/>
  <c r="J10" i="1"/>
  <c r="M10" i="1"/>
  <c r="P10" i="1"/>
  <c r="S10" i="1"/>
  <c r="V10" i="1"/>
  <c r="Y10" i="1"/>
  <c r="AB10" i="1"/>
  <c r="AE10" i="1"/>
  <c r="D38" i="1"/>
  <c r="D27" i="1"/>
  <c r="D17" i="1"/>
  <c r="D10" i="1"/>
  <c r="AE26" i="1"/>
  <c r="AE40" i="1" s="1"/>
  <c r="AB26" i="1"/>
  <c r="AB40" i="1" s="1"/>
  <c r="Y26" i="1"/>
  <c r="Y40" i="1" s="1"/>
  <c r="V26" i="1"/>
  <c r="V40" i="1" s="1"/>
  <c r="S26" i="1"/>
  <c r="S40" i="1" s="1"/>
  <c r="P26" i="1"/>
  <c r="P40" i="1" s="1"/>
  <c r="M26" i="1"/>
  <c r="J26" i="1"/>
  <c r="J40" i="1" s="1"/>
  <c r="G26" i="1"/>
  <c r="G40" i="1" s="1"/>
  <c r="D26" i="1"/>
  <c r="D40" i="1" s="1"/>
  <c r="D16" i="1"/>
  <c r="H12" i="1"/>
  <c r="K12" i="1" s="1"/>
  <c r="N12" i="1" s="1"/>
  <c r="Q12" i="1" s="1"/>
  <c r="T12" i="1" s="1"/>
  <c r="W12" i="1" s="1"/>
  <c r="Z12" i="1" s="1"/>
  <c r="AC12" i="1" s="1"/>
  <c r="AF12" i="1" s="1"/>
  <c r="G12" i="1"/>
  <c r="J12" i="1" s="1"/>
  <c r="M12" i="1" s="1"/>
  <c r="P12" i="1" s="1"/>
  <c r="S12" i="1" s="1"/>
  <c r="V12" i="1" s="1"/>
  <c r="Y12" i="1" s="1"/>
  <c r="AB12" i="1" s="1"/>
  <c r="AE12" i="1" s="1"/>
  <c r="C37" i="1"/>
  <c r="C41" i="1" s="1"/>
  <c r="B29" i="1"/>
  <c r="B19" i="1"/>
  <c r="C29" i="1"/>
  <c r="E19" i="1"/>
  <c r="E29" i="1" s="1"/>
  <c r="H29" i="1" s="1"/>
  <c r="K29" i="1" s="1"/>
  <c r="N29" i="1" s="1"/>
  <c r="Q29" i="1" s="1"/>
  <c r="T29" i="1" s="1"/>
  <c r="W29" i="1" s="1"/>
  <c r="Z29" i="1" s="1"/>
  <c r="AC29" i="1" s="1"/>
  <c r="AF29" i="1" s="1"/>
  <c r="D19" i="1"/>
  <c r="D29" i="1" s="1"/>
  <c r="G29" i="1" s="1"/>
  <c r="J29" i="1" s="1"/>
  <c r="M29" i="1" s="1"/>
  <c r="P29" i="1" s="1"/>
  <c r="S29" i="1" s="1"/>
  <c r="V29" i="1" s="1"/>
  <c r="Y29" i="1" s="1"/>
  <c r="AB29" i="1" s="1"/>
  <c r="AE29" i="1" s="1"/>
  <c r="C19" i="1"/>
  <c r="C26" i="1"/>
  <c r="C40" i="1" s="1"/>
  <c r="C16" i="1"/>
  <c r="C39" i="1" s="1"/>
  <c r="D41" i="40" a="1"/>
  <c r="D30" i="40" a="1"/>
  <c r="D20" i="40" a="1"/>
  <c r="D13" i="40" a="1"/>
  <c r="D13" i="40" l="1"/>
  <c r="D20" i="40"/>
  <c r="D30" i="40"/>
  <c r="D41" i="40"/>
  <c r="Q40" i="1"/>
  <c r="M40" i="1"/>
  <c r="N40" i="1" s="1"/>
  <c r="T40" i="1"/>
  <c r="G39" i="1"/>
  <c r="H39" i="1" s="1"/>
  <c r="W40" i="1"/>
  <c r="J39" i="1"/>
  <c r="K39" i="1" s="1"/>
  <c r="Z40" i="1"/>
  <c r="N39" i="1"/>
  <c r="Y39" i="1"/>
  <c r="Z39" i="1" s="1"/>
  <c r="D39" i="1"/>
  <c r="E39" i="1" s="1"/>
  <c r="E40" i="1"/>
  <c r="P39" i="1"/>
  <c r="Q39" i="1" s="1"/>
  <c r="AB39" i="1"/>
  <c r="AC39" i="1" s="1"/>
  <c r="AC40" i="1"/>
  <c r="AF40" i="1"/>
  <c r="S39" i="1"/>
  <c r="T39" i="1" s="1"/>
  <c r="AF39" i="1"/>
  <c r="AF41" i="1"/>
  <c r="W41" i="1"/>
  <c r="N41" i="1"/>
  <c r="AC41" i="1"/>
  <c r="E41" i="1"/>
  <c r="T41" i="1"/>
  <c r="K41" i="1"/>
  <c r="Z41" i="1"/>
  <c r="H41" i="1"/>
  <c r="Q41" i="1"/>
  <c r="H40" i="1"/>
  <c r="K40" i="1"/>
  <c r="V39" i="1"/>
  <c r="W39" i="1" s="1"/>
  <c r="AB42" i="1"/>
  <c r="J42" i="1"/>
  <c r="AE42" i="1"/>
  <c r="G42" i="1"/>
  <c r="G19" i="1"/>
  <c r="J19" i="1" s="1"/>
  <c r="M19" i="1" s="1"/>
  <c r="P19" i="1" s="1"/>
  <c r="S19" i="1" s="1"/>
  <c r="V19" i="1" s="1"/>
  <c r="Y19" i="1" s="1"/>
  <c r="AB19" i="1" s="1"/>
  <c r="AE19" i="1" s="1"/>
  <c r="H19" i="1"/>
  <c r="K19" i="1" s="1"/>
  <c r="N19" i="1" s="1"/>
  <c r="Q19" i="1" s="1"/>
  <c r="T19" i="1" s="1"/>
  <c r="W19" i="1" s="1"/>
  <c r="Z19" i="1" s="1"/>
  <c r="AC19" i="1" s="1"/>
  <c r="AF19" i="1" s="1"/>
  <c r="C42" i="1"/>
  <c r="C43" i="1" s="1"/>
  <c r="D42" i="1"/>
  <c r="P42" i="1" l="1"/>
  <c r="V42" i="1"/>
  <c r="W42" i="1" s="1"/>
  <c r="K42" i="1"/>
  <c r="J43" i="1"/>
  <c r="J45" i="1" s="1"/>
  <c r="K45" i="1" s="1"/>
  <c r="E42" i="1"/>
  <c r="D43" i="1"/>
  <c r="H42" i="1"/>
  <c r="G43" i="1"/>
  <c r="G45" i="1" s="1"/>
  <c r="H45" i="1" s="1"/>
  <c r="AC42" i="1"/>
  <c r="AB43" i="1"/>
  <c r="AB45" i="1" s="1"/>
  <c r="AC45" i="1" s="1"/>
  <c r="AF42" i="1"/>
  <c r="AE43" i="1"/>
  <c r="Q42" i="1"/>
  <c r="P43" i="1"/>
  <c r="P45" i="1" s="1"/>
  <c r="Q45" i="1" s="1"/>
  <c r="S42" i="1"/>
  <c r="Y42" i="1"/>
  <c r="M42" i="1"/>
  <c r="V43" i="1" l="1"/>
  <c r="V45" i="1" s="1"/>
  <c r="W45" i="1" s="1"/>
  <c r="E43" i="1"/>
  <c r="D45" i="1"/>
  <c r="E45" i="1" s="1"/>
  <c r="AF43" i="1"/>
  <c r="AE45" i="1"/>
  <c r="AF45" i="1" s="1"/>
  <c r="W43" i="1"/>
  <c r="AC43" i="1"/>
  <c r="Q43" i="1"/>
  <c r="H43" i="1"/>
  <c r="K43" i="1"/>
  <c r="Z42" i="1"/>
  <c r="Y43" i="1"/>
  <c r="Y45" i="1" s="1"/>
  <c r="Z45" i="1" s="1"/>
  <c r="T42" i="1"/>
  <c r="S43" i="1"/>
  <c r="S45" i="1" s="1"/>
  <c r="T45" i="1" s="1"/>
  <c r="N42" i="1"/>
  <c r="M43" i="1"/>
  <c r="M45" i="1" s="1"/>
  <c r="N45" i="1" s="1"/>
  <c r="Z43" i="1" l="1"/>
  <c r="T43" i="1"/>
  <c r="N43" i="1"/>
  <c r="D12" i="17" a="1"/>
  <c r="D10" i="17" a="1"/>
  <c r="D6" i="17" a="1"/>
  <c r="D9" i="17" a="1"/>
  <c r="D13" i="17" a="1"/>
  <c r="D14" i="17" a="1"/>
  <c r="D11" i="17" a="1"/>
  <c r="D7" i="17" a="1"/>
  <c r="D2" i="17" a="1"/>
  <c r="D4" i="17" a="1"/>
  <c r="D5" i="17" a="1"/>
  <c r="D3" i="17" a="1"/>
  <c r="D8" i="17" a="1"/>
  <c r="D4" i="17" l="1"/>
  <c r="D2" i="17"/>
  <c r="D7" i="17"/>
  <c r="D3" i="17"/>
  <c r="D6" i="17"/>
  <c r="D11" i="17"/>
  <c r="D10" i="17"/>
  <c r="D12" i="17"/>
  <c r="E12" i="17" s="1" a="1"/>
  <c r="D14" i="17"/>
  <c r="E14" i="17" s="1" a="1"/>
  <c r="D13" i="17"/>
  <c r="E13" i="17" s="1" a="1"/>
  <c r="D9" i="17"/>
  <c r="D8" i="17"/>
  <c r="D5" i="17"/>
  <c r="E11" i="17" a="1"/>
  <c r="E4" i="17" a="1"/>
  <c r="E2" i="17" a="1"/>
  <c r="E8" i="17" a="1"/>
  <c r="E7" i="17" a="1"/>
  <c r="E3" i="17" a="1"/>
  <c r="E9" i="17" a="1"/>
  <c r="E6" i="17" a="1"/>
  <c r="E5" i="17" a="1"/>
  <c r="E10" i="17" a="1"/>
  <c r="E13" i="17" l="1"/>
  <c r="E14" i="17"/>
  <c r="E12" i="17"/>
  <c r="E11" i="17"/>
  <c r="E5" i="17"/>
  <c r="E6" i="17"/>
  <c r="E9" i="17"/>
  <c r="E3" i="17"/>
  <c r="E7" i="17"/>
  <c r="E8" i="17"/>
  <c r="E10" i="17"/>
  <c r="E2" i="17"/>
  <c r="E4" i="17"/>
  <c r="AN44" i="1" l="1"/>
  <c r="AO44" i="1" s="1"/>
  <c r="AH44" i="1"/>
  <c r="AI44" i="1" s="1"/>
  <c r="AK44" i="1"/>
  <c r="AL44" i="1" s="1"/>
  <c r="F12" i="17"/>
  <c r="F11" i="17"/>
  <c r="F14" i="17"/>
  <c r="F13" i="17"/>
  <c r="F10" i="17"/>
  <c r="V44" i="1"/>
  <c r="F6" i="17"/>
  <c r="F2" i="17"/>
  <c r="F8" i="17"/>
  <c r="F7" i="17"/>
  <c r="F5" i="17"/>
  <c r="F9" i="17"/>
  <c r="G44" i="1"/>
  <c r="F3" i="17"/>
  <c r="F4" i="17"/>
  <c r="D44" i="1"/>
  <c r="M44" i="1"/>
  <c r="S44" i="1"/>
  <c r="T44" i="1" s="1"/>
  <c r="AB44" i="1"/>
  <c r="J44" i="1"/>
  <c r="AE44" i="1"/>
  <c r="AF44" i="1" s="1"/>
  <c r="Y44" i="1"/>
  <c r="P44" i="1"/>
  <c r="D47" i="43" a="1"/>
  <c r="D47" i="48" a="1"/>
  <c r="D47" i="42" a="1"/>
  <c r="D47" i="41" a="1"/>
  <c r="D47" i="49" a="1"/>
  <c r="D47" i="47" a="1"/>
  <c r="D47" i="40" a="1"/>
  <c r="D47" i="46" a="1"/>
  <c r="D47" i="44" a="1"/>
  <c r="D47" i="45" a="1"/>
  <c r="D47" i="49" l="1"/>
  <c r="D47" i="48"/>
  <c r="D47" i="45"/>
  <c r="D47" i="44"/>
  <c r="D47" i="46"/>
  <c r="D47" i="47"/>
  <c r="D47" i="43"/>
  <c r="K44" i="1"/>
  <c r="D47" i="42"/>
  <c r="D47" i="41"/>
  <c r="D47" i="40"/>
  <c r="H44" i="1"/>
  <c r="E44" i="1"/>
  <c r="W44" i="1"/>
  <c r="N44" i="1"/>
  <c r="Z44" i="1"/>
  <c r="AC44" i="1"/>
  <c r="Q44" i="1"/>
  <c r="E47" i="43" a="1"/>
  <c r="E47" i="42" a="1"/>
  <c r="E47" i="49" a="1"/>
  <c r="E47" i="41" a="1"/>
  <c r="E47" i="48" a="1"/>
  <c r="E47" i="40" a="1"/>
  <c r="E47" i="45" a="1"/>
  <c r="E47" i="44" a="1"/>
  <c r="E47" i="46" a="1"/>
  <c r="E47" i="47" a="1"/>
  <c r="E47" i="49" l="1"/>
  <c r="E47" i="48"/>
  <c r="E47" i="47"/>
  <c r="E47" i="46"/>
  <c r="E47" i="44"/>
  <c r="E47" i="45"/>
  <c r="E47" i="43"/>
  <c r="E47" i="42"/>
  <c r="E47" i="41"/>
  <c r="E47"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<sst xmlns="http://schemas.openxmlformats.org/spreadsheetml/2006/main" count="484" uniqueCount="320">
  <si>
    <r>
      <rPr>
        <b/>
        <sz val="12"/>
        <color theme="1"/>
        <rFont val="Calibri"/>
        <family val="2"/>
        <scheme val="minor"/>
      </rPr>
      <t>Forschungsgegenstand</t>
    </r>
    <r>
      <rPr>
        <sz val="12"/>
        <color theme="1"/>
        <rFont val="Calibri"/>
        <family val="2"/>
        <scheme val="minor"/>
      </rPr>
      <t xml:space="preserve">
- Zielausgestaltung (0,2P)
- Fragestellung (0,4P)
- Hypothesen (0,4P)</t>
    </r>
  </si>
  <si>
    <r>
      <rPr>
        <b/>
        <sz val="12"/>
        <color theme="1"/>
        <rFont val="Calibri"/>
        <family val="2"/>
        <scheme val="minor"/>
      </rPr>
      <t>Komposition</t>
    </r>
    <r>
      <rPr>
        <sz val="12"/>
        <color theme="1"/>
        <rFont val="Calibri"/>
        <family val="2"/>
        <scheme val="minor"/>
      </rPr>
      <t xml:space="preserve">
- Inhaltlicher Zusammenhang (0,2P)
- Vorgehensweise (0,2P)
- Motivation des Themas (0,1P)</t>
    </r>
  </si>
  <si>
    <t>Zwischensumme Exposé</t>
  </si>
  <si>
    <t>Punkte</t>
  </si>
  <si>
    <r>
      <rPr>
        <b/>
        <sz val="12"/>
        <color theme="1"/>
        <rFont val="Calibri"/>
        <family val="2"/>
        <scheme val="minor"/>
      </rPr>
      <t>Formalia (Exposé)</t>
    </r>
    <r>
      <rPr>
        <sz val="12"/>
        <color theme="1"/>
        <rFont val="Calibri"/>
        <family val="2"/>
        <scheme val="minor"/>
      </rPr>
      <t xml:space="preserve">
- Deckblatt (0,2P)
- Formatierung (0,2P)
- Schreibstil &amp; Rechtschreibung (0,1P)</t>
    </r>
  </si>
  <si>
    <r>
      <rPr>
        <b/>
        <sz val="12"/>
        <color theme="1"/>
        <rFont val="Calibri"/>
        <family val="2"/>
        <scheme val="minor"/>
      </rPr>
      <t>Formalia (Zwischenabgabe)</t>
    </r>
    <r>
      <rPr>
        <sz val="12"/>
        <color theme="1"/>
        <rFont val="Calibri"/>
        <family val="2"/>
        <scheme val="minor"/>
      </rPr>
      <t xml:space="preserve">
- Analytische Ausarbeitung (0,5P)
    + Übersichtlichkeit
    + Nachvollziehbarkeit aller Rechnungen
- Schriftliche Ausarbeitung (0,5P)
    + Formatierung des Dokuments
    + Zitation wissenschaftlicher Quellen</t>
    </r>
  </si>
  <si>
    <t>Bewertung</t>
  </si>
  <si>
    <t>Kommentar</t>
  </si>
  <si>
    <r>
      <rPr>
        <b/>
        <sz val="12"/>
        <color theme="1"/>
        <rFont val="Calibri"/>
        <family val="2"/>
        <scheme val="minor"/>
      </rPr>
      <t>Ergänzende Berechnung</t>
    </r>
    <r>
      <rPr>
        <sz val="12"/>
        <color theme="1"/>
        <rFont val="Calibri"/>
        <family val="2"/>
        <scheme val="minor"/>
      </rPr>
      <t xml:space="preserve">
- Ergänzende Berechnung, Interpretation und Einordnung in den Sachkontext (min.) eines weiteren Zusammenhangsmaßes oder Konzentrationsmaßes</t>
    </r>
  </si>
  <si>
    <t>Zwischensumme Zwischenabgabe</t>
  </si>
  <si>
    <t>Exposé</t>
  </si>
  <si>
    <t>Zwischenabgabe</t>
  </si>
  <si>
    <t>Endabgabe</t>
  </si>
  <si>
    <t>Korrektor</t>
  </si>
  <si>
    <t>Oranisatorisches</t>
  </si>
  <si>
    <t>Name</t>
  </si>
  <si>
    <t>Prof. Dr. Benjamin Buchwitz</t>
  </si>
  <si>
    <t>Kontaktmöglichkeit</t>
  </si>
  <si>
    <t>buchwitz.benjamin@fh-swf.de</t>
  </si>
  <si>
    <t>Gruppe</t>
  </si>
  <si>
    <t>Statistics Gals</t>
  </si>
  <si>
    <t>Matrikelnr.</t>
  </si>
  <si>
    <t>Anna Müller</t>
  </si>
  <si>
    <t xml:space="preserve">Panchanok Asathai </t>
  </si>
  <si>
    <t xml:space="preserve">Lina Sachs </t>
  </si>
  <si>
    <t xml:space="preserve">Charlotte Hütter </t>
  </si>
  <si>
    <t xml:space="preserve">Elisa Pott </t>
  </si>
  <si>
    <t>Ziel des Exposés:</t>
  </si>
  <si>
    <t>Ziel der Zwischenabgabe:</t>
  </si>
  <si>
    <r>
      <rPr>
        <b/>
        <sz val="12"/>
        <color theme="1"/>
        <rFont val="Calibri"/>
        <family val="2"/>
        <scheme val="minor"/>
      </rPr>
      <t xml:space="preserve">Verbesserung der Deskriptiven Statistik </t>
    </r>
    <r>
      <rPr>
        <sz val="12"/>
        <color theme="1"/>
        <rFont val="Calibri"/>
        <family val="2"/>
        <scheme val="minor"/>
      </rPr>
      <t>hinsichtlich Korrektheit, Vollständigkeit, Beschreibung und Einordnung in den Sachkontext
- Lagemaße (0,5P)
- Streuungsmaße (0,5P)
- Ergänzende Maße (0,5P)
- Zusammenhangsmaße (0,5P)</t>
    </r>
  </si>
  <si>
    <t>Fokus &amp; Korrekturhinweise</t>
  </si>
  <si>
    <t>Zwischensumme Endabgabe</t>
  </si>
  <si>
    <r>
      <rPr>
        <b/>
        <sz val="12"/>
        <color theme="1"/>
        <rFont val="Calibri"/>
        <family val="2"/>
        <scheme val="minor"/>
      </rPr>
      <t>Inferenzstatistik: Freie Methodenwahl</t>
    </r>
    <r>
      <rPr>
        <sz val="12"/>
        <color theme="1"/>
        <rFont val="Calibri"/>
        <family val="2"/>
        <scheme val="minor"/>
      </rPr>
      <t xml:space="preserve">
- Inhaltlich begründete Methodenauswahl (1P)
- Voraussetzungen erfüllt (0,5P)
- Fehlerfreie Berechnungen (0,5P)
- Korrekte Testanwendung (0,5P)
- Statistische Interpretation und Einordnung in Sachkontext (1P)</t>
    </r>
  </si>
  <si>
    <r>
      <rPr>
        <b/>
        <sz val="12"/>
        <color theme="1"/>
        <rFont val="Calibri"/>
        <family val="2"/>
        <scheme val="minor"/>
      </rPr>
      <t>Zielerreichung</t>
    </r>
    <r>
      <rPr>
        <sz val="12"/>
        <color theme="1"/>
        <rFont val="Calibri"/>
        <family val="2"/>
        <scheme val="minor"/>
      </rPr>
      <t xml:space="preserve">
- Antwort auf die gestellte Forschungsfrage
- Zusammenfassung der Ergebnisse
- Kritische Würdigung des eigenen Vorgehens</t>
    </r>
  </si>
  <si>
    <t>Abschließende Bewertung</t>
  </si>
  <si>
    <r>
      <rPr>
        <b/>
        <sz val="12"/>
        <color theme="1"/>
        <rFont val="Calibri"/>
        <family val="2"/>
        <scheme val="minor"/>
      </rPr>
      <t>Argumentationsfluss &amp; Gesamteindruck</t>
    </r>
    <r>
      <rPr>
        <sz val="12"/>
        <color theme="1"/>
        <rFont val="Calibri"/>
        <family val="2"/>
        <scheme val="minor"/>
      </rPr>
      <t xml:space="preserve">
- Inhaltlicher Aufbau
- Verknüpfung der Fragestellung mit der Anwendung der inhaltlichen Methoden
- Verknüpfung deskriptiver und analytischer Statistik
- </t>
    </r>
    <r>
      <rPr>
        <u/>
        <sz val="12"/>
        <color theme="1"/>
        <rFont val="Calibri (Textkörper)"/>
      </rPr>
      <t>Keine</t>
    </r>
    <r>
      <rPr>
        <sz val="12"/>
        <color theme="1"/>
        <rFont val="Calibri"/>
        <family val="2"/>
        <scheme val="minor"/>
      </rPr>
      <t xml:space="preserve"> rezeptartige Beschreibung von Rechenwegen</t>
    </r>
  </si>
  <si>
    <r>
      <rPr>
        <b/>
        <sz val="12"/>
        <color theme="1"/>
        <rFont val="Calibri"/>
        <family val="2"/>
        <scheme val="minor"/>
      </rPr>
      <t>Analytische Qualität</t>
    </r>
    <r>
      <rPr>
        <sz val="12"/>
        <color theme="1"/>
        <rFont val="Calibri"/>
        <family val="2"/>
        <scheme val="minor"/>
      </rPr>
      <t xml:space="preserve">
- Übersichtlichkeit der Analyse (R oder Excel)
- Nachvollziehbarkeit aller Rechnungen
- Vollständigkeit</t>
    </r>
  </si>
  <si>
    <r>
      <rPr>
        <b/>
        <sz val="12"/>
        <color theme="1"/>
        <rFont val="Calibri"/>
        <family val="2"/>
        <scheme val="minor"/>
      </rPr>
      <t>Inferenzstatistik: Zusammenhangsanalyse</t>
    </r>
    <r>
      <rPr>
        <sz val="12"/>
        <color theme="1"/>
        <rFont val="Calibri"/>
        <family val="2"/>
        <scheme val="minor"/>
      </rPr>
      <t xml:space="preserve">
- Variablen- und Methodenauswahl kongruent (1P)
- Voraussetzungen erfüllt (0,5P)
- Fehlerfreie Berechnungen (0,5P)
- Korrekte Testanwendung (0,5P)
- Statistische Interpretation und Einordnung in Sachkontext (1P)</t>
    </r>
  </si>
  <si>
    <t>Statistik DASJ</t>
  </si>
  <si>
    <t xml:space="preserve">Julia Sophie Granderath </t>
  </si>
  <si>
    <t xml:space="preserve">Sandra Sophie Flemmig </t>
  </si>
  <si>
    <t xml:space="preserve">Amanda Marques Greve </t>
  </si>
  <si>
    <t xml:space="preserve">Diana Alexandra Gheorghe </t>
  </si>
  <si>
    <t>Zu jedem Autoren sind Name und Matrikelnummer gelistet</t>
  </si>
  <si>
    <t>Deckblatt</t>
  </si>
  <si>
    <t>Das Deckblatt listet alle Autoren (Gruppenmitglieder) der Arbeit</t>
  </si>
  <si>
    <t>Der erste gelistete Autor führt die Korrespondenz (ist Gruppensprecher)</t>
  </si>
  <si>
    <t>Der korrespondierende Autor ist als solcher gekennzeichnet</t>
  </si>
  <si>
    <t>Das Deckblatt istnüchtern gestaltet, enthält keine Grafiken, Bilder, bunte Schriften oder vom Rest der Arbeit abweichende optische Elemente (z.B. abweichende Schriftarten, knallige Farben)</t>
  </si>
  <si>
    <t>Das Deckblatt listet das Datum der Einreichung</t>
  </si>
  <si>
    <t>Kreativität = 0</t>
  </si>
  <si>
    <t xml:space="preserve">Florian Hickert </t>
  </si>
  <si>
    <t>Denis Krenz</t>
  </si>
  <si>
    <t xml:space="preserve">Luzia Lakämper </t>
  </si>
  <si>
    <t>Max Bogdanski</t>
  </si>
  <si>
    <t xml:space="preserve">Joshua Eusterbrock </t>
  </si>
  <si>
    <t>Das Deckblatt listet den ihnen zugeordneten Betreuer der Arbeit</t>
  </si>
  <si>
    <t>Teamtastik</t>
  </si>
  <si>
    <t>Gamze Semiz</t>
  </si>
  <si>
    <t>Aylin Colak</t>
  </si>
  <si>
    <t>Kader Degirmenci</t>
  </si>
  <si>
    <t>Die Datenanalytiker</t>
  </si>
  <si>
    <t>Helen Hammerschmidt</t>
  </si>
  <si>
    <t xml:space="preserve">Michelle Genci </t>
  </si>
  <si>
    <t xml:space="preserve">Mia Benirschke </t>
  </si>
  <si>
    <t xml:space="preserve">Alexander Gawritschkow </t>
  </si>
  <si>
    <t>Die Schalker</t>
  </si>
  <si>
    <t>Henry Wagener</t>
  </si>
  <si>
    <t>Gerit Klenk</t>
  </si>
  <si>
    <t xml:space="preserve">Leon Muth-Köhne </t>
  </si>
  <si>
    <t>Florian Sam Kerstholt</t>
  </si>
  <si>
    <t>JAMT</t>
  </si>
  <si>
    <t>Amela Kurbardovic</t>
  </si>
  <si>
    <t>Viktoria Littich</t>
  </si>
  <si>
    <t>Tina Kebernik</t>
  </si>
  <si>
    <t>Mara Jonalik</t>
  </si>
  <si>
    <t>Julia Loobes</t>
  </si>
  <si>
    <t>Crystal Math</t>
  </si>
  <si>
    <t xml:space="preserve">Yvonne Katzmarski </t>
  </si>
  <si>
    <t xml:space="preserve">Lisa Marie Meister </t>
  </si>
  <si>
    <t>Mineralwasser 3</t>
  </si>
  <si>
    <t xml:space="preserve">Tobias Förster </t>
  </si>
  <si>
    <t xml:space="preserve">Tim Gillner </t>
  </si>
  <si>
    <t xml:space="preserve">Carolin Wilde </t>
  </si>
  <si>
    <t>Michelle Sonntag</t>
  </si>
  <si>
    <t xml:space="preserve">Kevin Verhülsdonk </t>
  </si>
  <si>
    <t>Verbesserungsmöglichkeiten
für die Endabgabe</t>
  </si>
  <si>
    <t>Verbesserungsmöglichkeiten
für die Zwischenabgabe</t>
  </si>
  <si>
    <t>Arbeit</t>
  </si>
  <si>
    <t>Der Textteil der Arbeit ist frei von Aussagen wie "in Zeiten von Big Data/Klimawandel/XYZ"</t>
  </si>
  <si>
    <t>Die Aussagen im Text enthalten wenig bis keine Superlative, enthaltene Superlative (= Behauptungen) sind mit wissenschaftlichen (!) Quellen belegt.</t>
  </si>
  <si>
    <t xml:space="preserve">Das Kapitel "verwendete Quellen" enthält keine Quellenverweise sondern ist nur eine Auflistung der im Datensatz enthaltenen Variablen. Ordentliche Quellenangaben fehlen. Wie die Aufgeworfenen Fragestellungen beantwortet werden (welche Variablen konkret genutzt werden) oder wie dabei vorgegangen wird ist unklar. die Teilkapitel hängen nur lose zusammen und bauen nicht wirklich aufeinander auf. </t>
  </si>
  <si>
    <t>Die Autoren listen drei Hypothesen, diese sind jedoch vollkommen unbegründet. Die Fragestellung "Wie verhält sich die Taxinutzung in NewYork?" ist unzureichend spezifiziert, grammatikalisch problematisch  und  hat keinen direkten Bezug zur Frage in 1.1.</t>
  </si>
  <si>
    <t>Die Arbeit (inkl. Kapitelüberschriften) enthält keine Formulierungen bei denen Sie sich nicht entscheiden konnten (Häufig durch Striche "/"  im Text gekennzeichnet).</t>
  </si>
  <si>
    <t>Die aufgeworfenen Hypothesen müssen begründet werden (Freitag/15 Minuten/20km). Alle anderen Kapitel der Einleitung sollten genau darauf hinleiten wieso Sie die entsprechenden Hypothesen aufgeworfen haben und wieso dies schlüssig und interessant ist. Für den Untersuchungsgegenstand ist es anzuraten, sich auf eine Zielgröße (Distanz oder Dauer) zu beschränken und den Verlauf der Argumentation daran auszurichten. Vorschlag: Die durchschnittliche Länge (Wegstrecke) einer Taxifahrt ist abhängig von gewissen Größen (Wochentag, Uhrzeit, etc.). Fokussieren Sie auf die Variablen und sagen Sie genau wieso sie diese einbeziehen (Was können diese zur Überprüfung der Hypothesen beitragen?). Ergänzen Sie in jedem Fall ein Quellenverzeichnis, nutzen Sie ein Programm zu Literaturverwaltung (Citavi/Zotero/Mendeley/etc.). Sie sollten erwähnen mit welcher Software Sie arbeiten, wie Sie die Verwendung von R korrekt zitieren finden sie mit der R-Funktion 'citation()' heraus.</t>
  </si>
  <si>
    <t>Mit Motivation des Themas ist unklar, was im wesentlichen am schwach ausgeprägten Fokus des Themas liegt. Die genaue Vorgehensweise ist diffus, da das genaue Ziel nicht spezifiziert ist</t>
  </si>
  <si>
    <t>die Gründe für die Untersuchungen sind teilweise ungewöhnlich formuliert z.B.: "um den Leser noch weiter zu informieren". Der Titel der Arbeit ist zu generisch und sollte spezifiziert werden.</t>
  </si>
  <si>
    <r>
      <rPr>
        <b/>
        <sz val="12"/>
        <color theme="1"/>
        <rFont val="Calibri"/>
        <family val="2"/>
        <scheme val="minor"/>
      </rPr>
      <t>Zusammenhangsmaße</t>
    </r>
    <r>
      <rPr>
        <sz val="12"/>
        <color theme="1"/>
        <rFont val="Calibri"/>
        <family val="2"/>
        <scheme val="minor"/>
      </rPr>
      <t xml:space="preserve">
- Berechnung, Interpretation und Einordnung in den Sachkontext von (min.) einem Zusammenhangsmaß</t>
    </r>
  </si>
  <si>
    <t>Die Autoren verfolgen kein klar erkennbares Ziel, die einzelnen Kapitel bauen nicht aufeinander auf. Die Vorgehenseise ist generisch und nicht auf einen Untersuchungszweck angepasst. Die Motivation des Themas ist lediglich "generelle Wichtigkeit" oder das "Interesse des Lesers".</t>
  </si>
  <si>
    <t>Verzichten sie auf Worte die Präzision vorgeben ohne dann Präzise zu werden (z.B. Vergleich verschiedener Zeitpunkte, Auslastung zu bestimmten Zeitpunkten)</t>
  </si>
  <si>
    <t xml:space="preserve">Die Daten beschreiben nicht "alle Taxifahrten in NYC" (Wie grenzt man Grundgesamtheiten ab?). Deskriptive und analytische Statistik sind in der textuellen Beschreibung nicht abgegrenzt und gehen nicht ineinander über. </t>
  </si>
  <si>
    <t>Als Ziel ist lediglich angegeben  Daten zu analysieren und bereitzustellen, was für das Ziel der Seminararbeit nicht ausreichen ist. Die konkrete Ausgestaltung der zentralen Forschungsfrage ist hier wesentlich und nicht nur eine Fokussierung.</t>
  </si>
  <si>
    <t>D</t>
  </si>
  <si>
    <t>E</t>
  </si>
  <si>
    <t>G</t>
  </si>
  <si>
    <t>H</t>
  </si>
  <si>
    <t>J</t>
  </si>
  <si>
    <t>K</t>
  </si>
  <si>
    <t>M</t>
  </si>
  <si>
    <t>N</t>
  </si>
  <si>
    <t>P</t>
  </si>
  <si>
    <t>Q</t>
  </si>
  <si>
    <t>S</t>
  </si>
  <si>
    <t>T</t>
  </si>
  <si>
    <t>Die Motivation des Themas ist grundsätzlich nachvollziehbar. Die Argumentation weißt an vielen Stellen Defizite auf, so sagen die Autoren, dass "davon ausgegangen wird, dass die Optimierung einen positiven Einfluss auf den Umweltschutz haben", was zum einen ungenau formuliert und zum anderen nahezu Deckungsgleich mit dem Untersuchungsgegenstand ist.</t>
  </si>
  <si>
    <r>
      <rPr>
        <b/>
        <sz val="12"/>
        <color theme="1"/>
        <rFont val="Calibri"/>
        <family val="2"/>
        <scheme val="minor"/>
      </rPr>
      <t>Komposition</t>
    </r>
    <r>
      <rPr>
        <sz val="12"/>
        <color theme="1"/>
        <rFont val="Calibri"/>
        <family val="2"/>
        <scheme val="minor"/>
      </rPr>
      <t xml:space="preserve">
- Zweckmäßiger Methodeneinsatz (1P)
- Zielgerichtete Argumentation (1P)</t>
    </r>
  </si>
  <si>
    <r>
      <rPr>
        <b/>
        <sz val="12"/>
        <color theme="1"/>
        <rFont val="Calibri"/>
        <family val="2"/>
        <scheme val="minor"/>
      </rPr>
      <t>Lage- &amp; Streuungsmaße</t>
    </r>
    <r>
      <rPr>
        <sz val="12"/>
        <color theme="1"/>
        <rFont val="Calibri"/>
        <family val="2"/>
        <scheme val="minor"/>
      </rPr>
      <t xml:space="preserve">
- Deskriptive Statistik für </t>
    </r>
    <r>
      <rPr>
        <u/>
        <sz val="12"/>
        <color theme="1"/>
        <rFont val="Calibri (Textkörper)"/>
      </rPr>
      <t>alle</t>
    </r>
    <r>
      <rPr>
        <sz val="12"/>
        <color theme="1"/>
        <rFont val="Calibri"/>
        <family val="2"/>
        <scheme val="minor"/>
      </rPr>
      <t xml:space="preserve"> verwendeten Variablen
- Berechnung, Interpretation und Einordnung in den Sachkontext</t>
    </r>
  </si>
  <si>
    <t>Schlussfazit</t>
  </si>
  <si>
    <t>Vorstellung des Datensatzes und Vorbereitung der inferenzstatistischen Analyseverfahren</t>
  </si>
  <si>
    <t>In der Arbeit wurde kein ergänzendes Zusammenhangsmaß oder Konzentrationsmaß berechnet.</t>
  </si>
  <si>
    <t>Lagemaße ok. Streuungsmaße fehlen. Das entfernen von Ausreißern haben Sie in der Arbeit gut gelöst (S.3), genau so sollte es sein.</t>
  </si>
  <si>
    <t>Es wurde kein weiteren Zusammenhangs- oder Konzentrationsmaß berechnet.</t>
  </si>
  <si>
    <t>In der Arbeit wurde kein Zusammenhangsmaß berechnet. Es wird lediglich behauptet, dass ein "klarer linearer Zusammenhang" festgestellt wurde (S.11). Maßzahlen dafür werden nicht gezeigt. Was ein klarer linearer Zusammenhang zudem überhaupt sein soll ist gänzlich unklar. Die Arbeit enthält an dieser Stelle keine verwertbaren Aussagen, da weder Richtung, Stärke oder numerische Beschreibung des Zusammenhangs genannt werden.</t>
  </si>
  <si>
    <t>Die Beschriftung der Grafiken ist mangelhaft, da diese nicht sprechend sind. Keine der Grafiken hat eine Überschrift oder eine entsprechenden Titel (Caption in Word). Variablennamen sind keine brauchbaren Achsenbeschriftungen! Anstellen von "osrm_distance" können Sie z.B. schreiben "Streckenlänge für KFZ nach OSRM Routenplaner in Metern (osrm_distance)".  Jede Grafik sollte bei alleiniger Betrachtung des Datensatzes verständlich sein muss aber dennoch vollständig im Text (mit Referenz) beschrieben werden. Das trifft aktuell auf keine Ihrer Abbildungen zu.</t>
  </si>
  <si>
    <t xml:space="preserve">Marta Wardenga </t>
  </si>
  <si>
    <t>Layla Aisosa Enkhoe</t>
  </si>
  <si>
    <t>Der folgende Satz ist unverständlich. "Eine Scheinkorrelation wird aufgrund der feststehenden Daten nicht in Betracht gezogen." Daten stehen immer fest. Scheinkorrelation ist ein Zusammenhang der auf einen (nicht beobachtete) Drittgröße zurückzuführen ist, aber nicht in einen inhaltslogischen Zusammenhang gebracht werden kann. Bitte lesen Sie die Arbeit ordentlich Korrektur - Jedes Gruppenmitglied sollte jeden Satz verstehen und erläutern können.</t>
  </si>
  <si>
    <t>Berechnungen und Erläuterungen ok. Textuelle Beschreibung vorhanden.</t>
  </si>
  <si>
    <t>Was ist der lineare Korrelationskoeffizient (S.7)? Was soll ein direkter Zusammenhang sein?</t>
  </si>
  <si>
    <t xml:space="preserve">Ginikoeffizient und Lorenzkurve sind nur berechnet, aber nicht interpretiert. Was trägt diese Betrachtung zum Gesamtziel der Arbeit bei? </t>
  </si>
  <si>
    <t>Die Abgabe enthält keine Diagramme.</t>
  </si>
  <si>
    <t>Der Gegenstand der Arbeit ist nicht adäquat ausgearbeitet. Erarbeiten Sie eine anständige und begründete Hypothese integrieren sie die für die Zwischenabgabe geforderten Inhalte in die Endabgabe.</t>
  </si>
  <si>
    <t>Zweckmäßiger Methodeneinsatz oder Zielgerichte fachliche Argumentation ist nicht zu erkennen.</t>
  </si>
  <si>
    <t>Die Arbeit ist nicht formatiert es wurde keine nennenswerte Analyse durchgeführt.</t>
  </si>
  <si>
    <t>Ansätze von deskriptiver Statistik sind zu erkennen, die wenigen Ergebnisse für Stellen jedoch keine  vollständige Analyse dar.</t>
  </si>
  <si>
    <t>Zusammenhangsmaße wurden nicht berechnet.</t>
  </si>
  <si>
    <t>Ergänzende Berechnungen sind nicht im Text integriert.</t>
  </si>
  <si>
    <t>Endpunktzahl (rechnerisch)</t>
  </si>
  <si>
    <t>Endergebnis (gerundet)</t>
  </si>
  <si>
    <t>0-1 (A-E)</t>
  </si>
  <si>
    <t>Spalte1</t>
  </si>
  <si>
    <t>Spalte2</t>
  </si>
  <si>
    <t>V</t>
  </si>
  <si>
    <t>W</t>
  </si>
  <si>
    <t>Y</t>
  </si>
  <si>
    <t>Z</t>
  </si>
  <si>
    <t>AB</t>
  </si>
  <si>
    <t>AC</t>
  </si>
  <si>
    <t>Quantil</t>
  </si>
  <si>
    <t>Formulieren Sie im Präsens (kein könnte, soll, etc...)</t>
  </si>
  <si>
    <t>Einarbeitung in den Sachkontext und Genese einer zum Datensatz passenden Forschungsfrage</t>
  </si>
  <si>
    <t>C</t>
  </si>
  <si>
    <t>A</t>
  </si>
  <si>
    <t>Beantwortung der Forschungsfrage unter Nutzung inferenzstatistischer Verfahren und Finalisierung der Arbeit</t>
  </si>
  <si>
    <t>Ziel der Endabgabe:</t>
  </si>
  <si>
    <t>Bei linearer Regression ist die reine Aufstellung der Geradengleichung ungenügend. Ziel ist die inferenzstatistische Argumentation mit den Regressionsparametern (Signifikanz &amp; Effektgröße) und deren Einordnung in den Sachkontext.</t>
  </si>
  <si>
    <t>Organisatorisches</t>
  </si>
  <si>
    <t xml:space="preserve">Es ist unklar wie die Forschungsfrage der Arbeit beantwortet werden soll. Der Datensatz enthält keine Angaben zur Auslastung. Diese kann auch nicht bestimmt oder ergänzt werden, da die Maximalkapazität oder der Fahrzeugtyp nicht bestimmbar sind. Entsprechend ist auch keine Bestimmung der "Senkung der Abgase" berechenbar und deren Einflussgrößen nicht ableitbar. Die einzige überprüfbare Hypothese ist die Behauptung, dass "die meisten Taxis nur mit einem Passagier besetzt sind" (Anteilswert der Taxis mit einem Passagier &lt; 0.5).   </t>
  </si>
  <si>
    <t xml:space="preserve">Die Fragestellungen sind unspezifisch ausgearbeitet "Wie viel Zeit die Menschen in Taxis verbringen und welche anderen Gründe diese haben könnte" erlaubt wenig Rückschlüsse was Sie faktisch untersuchen wollen. Im Rest des Exposés werden zahlreiche Frage aufgeworfen, wobei unklar ist wie Sie diese faktisch beantworten wollen. Alle aufgeworfenen fragen können Sie vermutlich nicht hinreichend beantworten. Die Gründe für die Taxifahrten können Sie anhand der gegeben Daten nicht erschließen. Wer mit "die Menschen" gemeint ist ist zudem unklar (Wie grenzt man Grundgesamtheiten ab?). Die Argumentation ist wenig wissenschaftlich orientiert und nicht mit Quellen belegt (Woher kommt der Stereotyp? Quellenangaben!). Die Frage ob es in New York ein Taximonopol gibt brauchen Sie nicht untersuchen, die Antwort zu der Frage finden Sie zudem auf der Website der entsprechenden Behörde. </t>
  </si>
  <si>
    <t xml:space="preserve">Das Exposee enthält keine Hypothesen, alle im Kapitel 1.1 aufgeworfenen Punkte sind durch deskriptive Maßzahlen sehr einfach darzustellen. Die Frage "an welchem Wochentag womöglich der höchste Gewinn erbracht wird" ist nicht beantwortbar, da der Datensatz keine Einnahmen, Fahrpreise oder Kosten enthält. Gleiches gilt für die Frage nach der Pünktlichkeit der Fahrten. </t>
  </si>
  <si>
    <t xml:space="preserve">Die formulierten Hypothesen sind lediglich Fragestellungen. Die genaue Zielstellung ist sehr unpräzise. Die Frage was die Länge (i.S.v. Dauer) über die zurückgelegte Strecke (Definition notwendig) hinaus beeinflusst ist eine spannende und gute Fragestellung. Hier müssen noch konkrete Hypothesen (Vermutungen) formuliert werden. Der Einfluss von Feiertage ist ebenfalls ein guter Punkt. </t>
  </si>
  <si>
    <t xml:space="preserve">Die Frage "Welchen Einfluss New Yorkers Taxis auf den CO2 Anstieg haben" kann mit den Daten nicht beantwortet werden und ist als Frage ungeeignet, da die Autoren keine weiteren Datenquellen und Informationen Anführen auf Basis derer diese Frage beantwortet werden kann. </t>
  </si>
  <si>
    <t>Es ist unklar wie die aufgeworfenen Fragen beantwortet werden sollen, da z.B. keine Informationen für Strecken außerhalb der Taxifahren vorliegen.</t>
  </si>
  <si>
    <t xml:space="preserve">Die Motivation des Themas wird faktisch nicht mit den untersuchten Inhalten verknüpft, sodass unklar ist welche "lukrativen Entscheidungen" Unternehmen denn treffen können, wenn Sie Einblicke über die die Treiber der Dauer von Taxifahrten zur Verfügung stehen haben. Das zu erwartende Vorgehen im Verlauf der Arbeit ist nicht beschrieben. </t>
  </si>
  <si>
    <t>Die Motivation des Themas ist sehr generalistisch und nicht mit dem Ziel ("wann sie am besten auf andere Verkehrsmittel umsteigen") verknüpft. Die Vorgehensweise ist nur im Rahmen der Gliederung operationalisiert: Diese muss im Text ausformuliert werden. Welche Schritte und aus welchen Gründen nutzen Sie zur Beantwortung der Frage?</t>
  </si>
  <si>
    <t>Der tägliche Verkehr in NYC ist nicht mit der Rushhour gleichzusetzen. Die Beschreibung des Verlaufs der Arbeit enthält nur deskriptive Informationen aber Vernachlässigt Zusammenhänge weitgehend ein Zusammenhang mit der Unehrlichkeit von Taxifahrern ist hier nicht mehr erkennbar. Die Motivation des Themas ist wenig ausformuliert (Wieso und für wen führen Sie die Untersuchung durch? Wer profitiert von Ihren Ergebnissen?). Der fünfte Abschnitt des Exposés hat nur einen losen wenig ausgeprägten Zusammenhang mit den restlichen Ausführungen der Arbeit.</t>
  </si>
  <si>
    <t>Die erste Seite des Exposés ist nur Kontextinformation, die mit den faktischen Daten und abbildbaren Analysen nicht in Einklang gebracht werden kann.</t>
  </si>
  <si>
    <t xml:space="preserve">Die einzelnen Bestandteile der Arbeit wirken zusammenhangslos, es ist unklar wo der Fokus der Arbeit liegt und welche Fragen mit welchen Methoden Daten und Zweck wie beantwortet werden. </t>
  </si>
  <si>
    <t xml:space="preserve">Das Deckblatt ist ohne erkennbaren Grund und ohne inhaltlichen Bezug farbenfroh, der Gruppensprecher auf dem Deckblatt nicht gekennzeichnet, das Inhaltsverzeichnis enthält wie die Angabe zur Seitenzahl das englische Wort "Page",  das Inhaltsverzeichnis ist nicht ordentlich durch eine Textverarbeitung automatisch generiert. Der Schreibstil ist unwissenschaftlich und umgangssprachlich ("zugeströmt", "eins der meist bevölkersten Städte"). Die Rechtschreibung, Zeichensetzung, etc. weißt zahlreiche Mängel auf (unnötige Punkte, doppelte Leerzeichen). Zahlreiche Aussagen sind unbelegt (zudem fehlt ein Quellenverzeichnis). Irritierenderweise enthält das Exposé einen Ausblick. </t>
  </si>
  <si>
    <t>Das Inhaltsverzeichnis ist kein ordentlich generiertes Verzeichnis, enthält keine nachvollziehbare Gliederung und enthält unwissenschaftliche Formulierungen "Sind US-Amerikaner faul?".</t>
  </si>
  <si>
    <t>Das Exposé befindet sich vor dem formatierten Dokument und wicht hinsichtlich der Gestaltung davon massiv ab. Das Deckblatt ist ohne erkennbaren Grund bunt und grafisch ausgestaltet, enthält aber wesentliche Informationen (Datum, Betreuer, Fach) nicht. Der Schreibstil des Exposés ist OK.</t>
  </si>
  <si>
    <t>Das Deckblatt enthält bunte Bilder und weicht in allen wesentlichen Formatierungspunkte vom Rest der Arbeit ab. Der Textteil des Exposés ist weitgehend unformatiert. Der</t>
  </si>
  <si>
    <t>Das Exposé nutzt zwei Quellen, es ist aber kein Literaturverzeichnis angehängt. Die Formulierung über die Unehrlichkeit von Taxifahrern ist ungenau, nicht objektiv und wenig wissenschaftlich formuliert. Es ist zudem unklar wie die Autoren diese Unehrlichkeit (das Fahren von Umwegen) faktisch messen wollen. Das Deckblatt enthält bunte Bilder und wirkt dadurch wenig wissenschaftlich, die Angabe des Betreuers fehlt.</t>
  </si>
  <si>
    <t xml:space="preserve">Das Quellenverzeichnis ist lediglich eine Liste mit Links, diese ist weder ordnungsgemäß zitiert noch mit den textuellen Ausgestaltungen verknüpft. Keine der verwendeten Quellen ist wissenschaftlich. Das Deckblatt enthält bunte Bilder ohne Bezug zum Thema. </t>
  </si>
  <si>
    <t>Dem Deckblatt fehlt das Datum der Abgabe (bzw. die Frist). Die Autoren nennen Datenquellen (Studienbuch?) nicht im Quellenverzeichnis. Das Inhaltsverzeichnis ist nicht ordentlich per Word generiert, die einzelnen Kapitel tragen Namen, die nicht erkennen lassen was dort faktisch untersucht werden soll. Der Unterschied zwischen deskriptiver und analytischer Statistik ist nicht erkennbar.</t>
  </si>
  <si>
    <t>Veränderung des Fokus auf die Erklärung der Auslastung der Taxifahrten und Bestimmen der Determinanten dieser Auslastung. Reduktion der Diskussion zum Umweltschutz, vollständiger Verzicht auf Argumente zum CO2 Ausstoß. Berechnung einer Auslastungskennzahl pro Fahrt unter Hinzunahme von Annahmen (Kapazität einzelner Fahrzeuge notwendig, Begründung und Quellenangaben zwingend notwendig). Ableiten von Zeitvariablen (Idee: Wann ist Auslastung hoch? Wann niedrig? Finden einzelner Variablen dafür auf Basis der Zeitstempel). Vorschlag für eine analytische Methode (Anteilswertdifferenz wie in Hypothese vorgeschlagen. Auswahl einer weiteren analytischen Methode für die Erklärung (Zusammenhang) der Auslastung mit anderen Variablen. Ergänzen Sie in jedem Fall ein Quellenverzeichnis, nutzen Sie ein Programm zu Literaturverwaltung (Citavi/Zotero/Mendeley/etc.). Sie sollten erwähnen mit welcher Software Sie arbeiten, wie Sie die Verwendung von R korrekt zitieren finden sie mit der R-Funktion 'citation()' heraus.</t>
  </si>
  <si>
    <t>Mit Motivation ist die Motivation des Themas gemeint, also die Beantwortung auf die Frage wieso es sich lohnt die Forschungsfrage zu beantworten. Ihre persönliche Motivation (und wie diese entstanden ist) ist nicht relevant und Ausführungen dazu sollten Sie vermeiden. Beschränken Sie sich auf eine einzelne Forschungsfrage und beantworten Sie diese so gründlich wie möglich (jeder Teil der Arbeit führt stückwiese zur Beantwortung dieser einen Frage). Die Frage ob die Verwendung von Taxis effizient ist, bzw. spezifischer ob die gleiche Wegstrecke mit anderen Verkehrsmitteln (z.B. zu Fuß oder per Rad) schneller zurückgelegt werden kann und wovon diese Effizienzunterschiede (Hypothese: Es gibt Effizienzunterschiede) abhängig sind ist interessant. Dafür müssen Sie die Daten z.B. um die Dauer erweitern, was in R einfach möglich ist. Aus der Antwort auf die Frage wovon diese Effizienzunterschiede abhängig sind können Sie Rückschlüsse auf die zu berücksichtigenden Variablen ziehen (für die deskriptive Statistik). Eine damit verbundene Hypothese wäre diese: sehr kurze Taxifahren dauern relativ zur zurückgelegten Strecke länger als sehr lange Taxifahren (Was sehr kurze und sehr lange Taxifahren sind müssen Sie festlegen und gut begründen).</t>
  </si>
  <si>
    <t>Das Ziel der Arbeit muss stärker herausgearbeitet werden. In Anlehnung an die Formulierten Fragen der Autoren kann eine zu untersuchenden Hypothese sein, das die Fahrtdauer abhängig vom Wochentag ist (also je nach Wochentag unterschiedlich ist). Eine mögliche Forschungsfrage kann die Bestimmungen von Determinanten der Fahrtdauer sein und die von den Autoren aufgeworfenen Punkte Hinsicht ihres Zusammenhanges mit der Fahrtdauer zu untersuchen. Auf die generischen Einführungen insb. in Kapitel 1.1 (die zudem keine Quellenangaben tragen) sollten Sie verzichten. Suchen Sie sich eine Fragestellung aus und arbeiten Sie auf diese hin und beleuchten Sie die von so vielen Perspektiven wie möglich. Ergänzen Sie in jedem Fall ein Quellenverzeichnis, nutzen Sie ein Programm zu Literaturverwaltung (Citavi/Zotero/Mendeley/etc.). Sie sollten erwähnen mit welcher Software Sie arbeiten, wie Sie die Verwendung von R korrekt zitieren finden sie mit der R-Funktion 'citation()' heraus.</t>
  </si>
  <si>
    <t>Die Motivation und Hinleitung des Themas muss, wenn Sie wirklich an der Perspektive der "Marktanalyse" festhalten wollen, müssen Sie hier explizite Gründe darlegen was ein Unternehmen mit den Dingen die Sie hoffen herauszufinden faktisch anfangen können. Die Fragestellungen müssen geschärft werden und explizite Hypothesen formuliert worden. Darüber Hinaus sollten sie die konkreten Vorgänge skizzieren. Nenn Sie was Sie genau mit welcher Variable im Datensatz tun. Woher kommt z.B. die Variable die Kennzeichnet ob eine Fahrt an einem Feiertag stattgefunden hat oder nicht? Bei Ihren Formulierungen sollten Sie zudem präziser werden. Was meinen Sie z.B. ganz genau mit Taxifahrtlänge? Ergänzen Sie in jedem Fall ein Quellenverzeichnis, nutzen Sie ein Programm zu Literaturverwaltung (Citavi/Zotero/Mendeley/etc.). Sie sollten erwähnen mit welcher Software Sie arbeiten, wie Sie die Verwendung von R korrekt zitieren finden sie mit der R-Funktion 'citation()' heraus.</t>
  </si>
  <si>
    <t>Konzentrieren Sie sich auf ein Ziel und eine damit verbundene Fragestellung. Das Ziel Empfehlungen zu geben, wann Taxis genutzt werden sollten und wann besser ist eine gute und interessante Fragestellung. Dafür brauchen Sie zusätzliche Annahmen oder zusätzliche Daten über andere Verkehrsmittel - Alternativ können Sie eine Effizienzbetrachtung für die Verbindung zwischen Stadtteilen durchführen und Untersuchen ob die Effizienz Abhängig von Uhrzeit/Wochentag/etc. ist. Die deskriptive Statistik muss die folgenden Fragen vorbereiten und die "Daten vorstellen". Entsprechend müssen beiden Teile der Arbeit (Kap. 2 und 3) auf das gleiche Ziel hinarbeiten. Bitte formulieren Sie alles im Präsenz und verzichten Sie auf Wörter wie "können", "sollen", etc. Ergänzen Sie in jedem Fall ein Quellenverzeichnis (dort sollten sie auch die entsprechende zusätzliche Kaggle Quelle zitieren), nutzen Sie ein Programm zu Literaturverwaltung (Citavi/Zotero/Mendeley/etc.). Sie sollten erwähnen mit welcher Software Sie arbeiten, wie Sie die Verwendung von R korrekt zitieren finden sie mit der R-Funktion 'citation()' heraus.</t>
  </si>
  <si>
    <t>Fokussieren Sie auf ein Thema und lassen Sie sich nicht zu nicht belegbaren Aussagen über Unehrlichkeit von Personengruppen hinreißen, wenn Sie keine Informationen haben, mit denen Sei diese messen können. Eine gute Vorgehensweise ist die Bestimmung der Determinanten der Dauer von Taxifahrten. Hier können Sie bestimmte Vermutungen auf Basis der Variablen im Datensatz formulieren. Einige Informationen dahingehend sind bereits im Text angedeutet. Diese sollten Sie stärker herausstellen. Ergänzen Sie in jedem Fall ein Quellenverzeichnis, nutzen Sie ein Programm zur Literaturverwaltung (Citavi/Zotero/Mendeley/etc.). Sie sollten erwähnen mit welcher Software Sie arbeiten, wie Sie die Verwendung von R korrekt zitieren finden sie mit der R-Funktion 'citation()' heraus.</t>
  </si>
  <si>
    <t>Finden Sie zunächst eine Fragestellung die mit den vorliegenden Daten auch beantwortbar ist oder nur leichte Erweiterungen der Datenbasis benötigt. Sie haben keinerlei Informationen zu den Fahrzeugen, den daraus resultierenden CO2 Ausstoß oder zur Fahrweise der Fahrer, sodass unklar ist was Sie überhaupt untersuchen wollen. Sie präsentieren keine Hypothese (Vermutung) die sich für die Untersuchung eignet. Arbeiten Sei zunächst an der Fragestellung (z.B. Hypothese: Die Dauer von Taxifahren ist abhängig von den Wochentagen an denen diese stattfinden.).  Ihre Gliederung sollte dahingehend überarbeitet werden, dass dort gespiegelt wird was sie mit welchen Variablen untersuchen. Ergänzen Sie in jedem Fall ein Quellenverzeichnis, nutzen Sie ein Programm zur Literaturverwaltung (Citavi/Zotero/Mendeley/etc.). Sie sollten erwähnen mit welcher Software Sie arbeiten, wie Sie die Verwendung von R korrekt zitieren finden sie mit der R-Funktion 'citation()' heraus.</t>
  </si>
  <si>
    <t>Fokussieren Sie auf eine spezifische Frage und gestalten Sie die Frage nach Unterschieden zwischen möglichen Ausprägungen von Variablen weiter aus. Interessant ist die Frage ob die jeweiligen Fahrten länger oder kürzer dauern als von einem Routenplaner bestimmt um daraus abzuleiten, wann man besser vermeiden sollten mit dem Taxi zu fahren (Ineffizienz). Das Aufzeigen dieser Unterschiede und der benötigten Variablen kann gut Gegenstand der deskriptiven Statistik sein. Den Zusammenhang (von Unterschieden und den Variablen) ist ein spannender Ansatz für die analytische Statistik. Ergänzen Sie in jedem Fall ein Quellenverzeichnis, nutzen Sie ein Programm zur Literaturverwaltung (Citavi/Zotero/Mendeley/etc.). Sie sollten erwähnen mit welcher Software Sie arbeiten, wie Sie die Verwendung von R korrekt zitieren finden sie mit der R-Funktion 'citation()' heraus.</t>
  </si>
  <si>
    <t xml:space="preserve">Lagemaße ok. Die Diskussion zu Streuungsmaßen ist nicht nachvollziehbar. Wieso sollte die Varianz erst durch die Standardabweichung aussagekräftige Werte liefern und im Kontext interpretiert werden können?  Die Varianz ist zudem nicht immer Größer als die Standardabweichung (dies suggerieren Sie auf S.7, nutzen aber  hier den undefinierten Begriff "Streuweite" und größere Varianz heißt auch nicht zwingend größere Spannweite). </t>
  </si>
  <si>
    <t>Lage- und Streuungsmaße vorhanden. Was soll man aus dem Vergleich der Varianz von einem Distanzmaß und von einer Zeitdimension lernen (S.6)? Wenn Sie die Einheit von km in m ändern, verändert sich auch die Varianz.</t>
  </si>
  <si>
    <t>Die Arbeit enthält  keine systematische Darstellung der Lage- oder Streuungsmaße. Die Autoren erwähnen nur, dass Sie diese irgendwann einmal berechnen wollen. Keine einzige relevante Zahl ist im Fließtext erläutert, keine Zahl im Sachkontext diskutiert. Anscheinen wurden jedoch wenig plausible Werte (Ausreißer) entfernt (grundsätzlich gut!) aber leider nicht die Anzahl der entfernten Beobachtungen genannt. Dies geschieht zudem erst in Kap.2.4 , sodass angenommen werden muss das die fehlerhaften Beobachtungen in den anderen Kapitel enthalten sind. Die in den Grafiken enthaltenen Werte sind nicht im Text beschrieben und damit gegenstandslos. Die Ausführungen zur Standardabweichung (S.7) sind grundlegend falsch.</t>
  </si>
  <si>
    <t>Die Lagemaße werden in ausreichender Form dargestellt. Streuungsmaße werden nicht für jeden Variable dargestellt. Aussagen der Form "… da es kaum Unterschiede zwischen den Fahrten gibt aber gleichzeitig eine sehr hohe Varianz vorhanden ist" lassen fehlenden Sachverstand vermitteln, da die Aussage sich selbst widerspricht und unklar ist was eine sehr hohe Varianz überhaupt sein soll. Sie geben dem Leser zudem keine Möglichkeit.</t>
  </si>
  <si>
    <t xml:space="preserve">Die Darstellung der deskriptiven Statistik für die Wochentage ist gut (S.12), aber unsauber formatiert. Wir arbeiten mit 4 Nachkommastellen, nicht mit 10 wie in Ihrer Tabelle.  Streuungsmaße für die relevanten Variablen fehlen nahezu vollständig. </t>
  </si>
  <si>
    <t>Wenn Sie den höchsten Wert angeben, brauchen Sie nicht nochmal sagen das dieser das Maximum ist (S.6). Sie vergleichen augenscheinlich die Streuung einer Dauer in Minuten mit der Streuung einer in Sekunden (S.8) ob die Transformation auch bei der Streuung beachtet wird ist nicht ersichtlich, die Standardabweichungen sind ebenfalls ohne Einheiten. Wenn Sie eine neue Variable erstellen wollen, dann tun Sie das doch am Anfang und gebündelt und verwenden Sie dafür einen anderen sprechenden Namen und arbeiten konsequent mit diesen neuen und transformierten Variablen. Ihre Bereinigung um Datenfehler ist gut, hat allerdings in der Einleitung keinen Platz. Der Datensatz beinhaltet nicht XXX Daten zu jeder Variable, sondern der Datensatz beinhaltet nach der Bereinigung XXX Beobachtungen.</t>
  </si>
  <si>
    <t xml:space="preserve">Die Interpretation des Korrelationskoeffizienten ist unvollständig. Ihre Formulierungen in Kap.1.4 sind unpräzise, unwissenschaftlich und nicht haltbar. </t>
  </si>
  <si>
    <t>Die Abgabe enthält keine bewertbaren Berechnungen, Interpretationen oder Einordnungen.</t>
  </si>
  <si>
    <t>In der Arbeit wurde kein Zusammenhangsmaß berechnet.</t>
  </si>
  <si>
    <t>Eine Kontingenztafel ist keine Maßzahl im eigentlichen Sinne. Die Darstellung des Zusammenhangs ist dennoch gelungen. Sie sollten sich in der deskriptiven Statistik zudem auf sachliche Beschreibungen konzentrieren. (z.B. S.6 Woher wollen Sie wissen, dass die Fahrten am Wochenende durch das Nachtleben zustande kommen? Das vermuten Sie nur und Sie können dies nicht belegen und sollten es dementsprechend vorsichtig formulieren --&gt; Untersuchen Sie doch z.B. mit Hilfe eines Hypothesentest/Mittelwertvergleiches ob der Verkehr am Wochenende in den Morgenstunden wirklich erhöht ist oder ob dies nur (zufällig) in Ihrer Stichprobe der Fall ist).</t>
  </si>
  <si>
    <t>Die Berechnungen zum Korrelationskoeffizienten sind ok (S.14). Der Korrelationskoeffizient ist jedoch eine statistische Messgröße. Die Interpretation, dass die entsprechenden Werte in einem kausalen Zusammenhang stehen (S.13) ist falsch! Die rezeptartigen Darstellungen der Interpretation für alle möglichen Werte sind überflüssig.</t>
  </si>
  <si>
    <t xml:space="preserve">Die Aussagen in Kapitel 2.1 zum Zusammenhang sind so nicht haltbar. Die Tatsache, dass Kurzstreckenfahrten mit 1-3 Passgieren ausgelastet sind, lässt keinen Schluss über den Zusammenhang der Merkmale Dauer und Passagieranzahl zu. </t>
  </si>
  <si>
    <t xml:space="preserve">Auf S.12 wird über Zusammenhänge der Anzahl der Fahrten über die Zeit gesprochen und argumentiert, dass diese sich nicht signifikant unterscheiden. Solche Aussagen ohne Hypothesentest und genaue Definition in welcher Hinsicht diese Datenreihen sich nicht unterscheiden sind irreführend, falsch und unwissenschaftlich. Die zugehörige Grafik ist verzerrt, verpixelt und nicht ordentlich beschriftet. </t>
  </si>
  <si>
    <t xml:space="preserve">Die Kontingenztafel ist unplausibel, wieso unterteilen Sie die Fahrten in die gezeigten Intervalle? Ihre Ausführen zeigen zudem, dass Sie das Konzept von Zufallsvariablen nicht verinnerlicht haben (Ausführungen zur Unabhängigkeit auf S.10). Die generischen Texte in diesem (und andren) Kapitel/n der Arbeit sind überflüssig, da diese nur aus der Literatur abgeschrieben sind. </t>
  </si>
  <si>
    <r>
      <rPr>
        <b/>
        <sz val="12"/>
        <color theme="1"/>
        <rFont val="Calibri"/>
        <family val="2"/>
        <scheme val="minor"/>
      </rPr>
      <t>Diagramme</t>
    </r>
    <r>
      <rPr>
        <sz val="12"/>
        <color theme="1"/>
        <rFont val="Calibri"/>
        <family val="2"/>
        <scheme val="minor"/>
      </rPr>
      <t xml:space="preserve">
- Sinnvoll unterstützender / ergänzender Einsatz einer grafischen Aufbereitung der Daten (0,5P)
- Ergänzende Darstellung eines weiteren, </t>
    </r>
    <r>
      <rPr>
        <u/>
        <sz val="12"/>
        <color theme="1"/>
        <rFont val="Calibri (Textkörper)"/>
      </rPr>
      <t>andersartigen</t>
    </r>
    <r>
      <rPr>
        <sz val="12"/>
        <color theme="1"/>
        <rFont val="Calibri"/>
        <family val="2"/>
        <scheme val="minor"/>
      </rPr>
      <t xml:space="preserve"> Diagrammes (0,5P)</t>
    </r>
  </si>
  <si>
    <t xml:space="preserve">Abb.1 verfolgt keinen erkennbaren Zweck und unterstützt den analytischen Zweck der Arbeit nicht. Die Achsenbeschriftung ist nicht sprechend. Der Informationsgehalt von Abb.2 ist so gering, dass die Grafik deutlich mehr Platz verbraucht als Einblicke liefert. Abb.3 ist keine adäquate Darstellung für die Verteilung der Daten. </t>
  </si>
  <si>
    <t>Die Arbeit enthält keine Diagramme, lediglich Screenshots im Anhang, die nicht in den Text eingebettet sind, unvollständig beschrieben werden und falsch nummeriert sind. Beide Darstellungen rechtfertigen den beanspruchten Raum weder durch Informationsgehalt noch durch Aussagekraft.</t>
  </si>
  <si>
    <t>Ihre Abbildungen sind teilweise sehr unterschiedlich groß, fast alle verpixelt und der Text teilweise nur schwer zu entziffern. Screenshots schlechter Excel Grafiken haben in einer wissenschaftlichen Arbeit nichts zu suchen. Abb.1 und Abb.2 sehen spannend aus, sind aber faktisch nicht zu lesen (unscharf und Text zu klein) und nicht sprechend hinsichtlich der verwendeten Bezeichnungen (Was bedeuten die unterschiedlichen Farben?).</t>
  </si>
  <si>
    <t>Abb.1 und Abb.6 sind sinnvoll und gut konzipiert. Die Achsenbeschriftung der Abb.6 ist jedoch stark verbesserungsfähig (Ähnliches gilt für Abb.7).</t>
  </si>
  <si>
    <t>Abb.1 und Abb.3 stellen Variablen des gleichen Saklenniveaus dar, wieso die Darstellungen jedoch unterschiedlich sind ist unklar. Wieso offensichtlich unplausible oder vermutlich fehlerhafte Werte erst auf S.9 entfernt werden und in allen vorherigen Berechnungen enthalten sind ist unklar. Auf S.11 werden dann nochmal Ausreißer entfernt. Sodass anscheinend jedes Unterkapitel mit einen (leicht) andren Datensatz arbeitet. Die übrigen Diagramme sind stark Mängelbehaftet und teilweise in keiner Weise in der Arbeit beschrieben.</t>
  </si>
  <si>
    <t>Abb.1 ist eine Tortendiagramm, das mehr Platz in der Arbeit belegt als Informationen liefert und entsprechend nicht sinnvoll eingesetzt ist. Abb.3 wurde nicht mir R erstellt und suggeriert stetige Werte der X-Achse obwohl es sich bei der dargestellten Größe um eine diskrete Variable handelt. Die Y-Achse verfügt über keine Achsenbeschriftung. Die Abbildung auf S.12 ist nicht ordentlich beschriftet und verfügt über keine laufende Nummer, die Achsenbeschriftungen sind generisch und die Grafik im Text nicht beschrieben. Die Abbildung auf S.14 verfügt ebenfalls nicht über eine laufende Nummer und wurde nicht mit R erstellt. Die Grafik verfügt zudem nicht über Achsenbeschriftungen und die dargestellten Punkten sich so groß gewählt, dass einzelne Beobachtungen nicht erkennbar sind.</t>
  </si>
  <si>
    <t>Ihre Dargestellten Diagramme haben Achsenbeschriftungen und Titel sind sprechend. Die Titel in Word (Caption) können Sie mit der Überschrift der Arbeit konsistent halten, z.B. Abb.1 sollte lauten "Abbildung 1: Verteilung der Fahrten auf Wochentage" (genauso wie Überschrift aus R). Die Beschreibung der Grafiken im Text kann präziser erfolgen, sodass die Grafik auch vom Leser verstanden werden kann (Thema, x-Achse, Y-Achse, Zentrum, Interpretation).</t>
  </si>
  <si>
    <t>Das Kürzen des Datensatzes auf Fahrten mit maximal drei Passgieren ist nicht nachvollziehbar. Laut NYC Taxi &amp; Limousine Commision gibt es in New York keine Klasse von Taxis die nur drei Passgiere befördern können. Die Autoren listen zudem keine Quelle, die die Entscheidung transparent und nachvollziehbar gestaltet.  Der Aufbau der Arbeit ist nicht nachvollziehbar, zuerst werden Lagemaße berechnet, dann Zusammenhangsmaße, dann Streuungsmaße.</t>
  </si>
  <si>
    <t>Die sprachlich genannten "Hypothesen" werden nicht in statistische Hypothesen überführt, ohne Hypothesentest verifiziert oder falsifiziert und die Ausführungen erwecken den Eindruck mangelnder Durchdringung des Themas. Die Intention der zu erzielenden Aussagen (Verwendung der Erkenntnisse im Sachkontext) verfolgt gut nachvollziehbare Intentionen, die leider nicht mit statistischen Mitteln belegt sind und daher als gegenstandslos gelten müssen.</t>
  </si>
  <si>
    <t xml:space="preserve">Ihre Argumentation zur ersten Hypothese ist ungenau. Der Datensatz enthält keine gefahrene Strecke (prüfen sie nochmals was die osrm_distance ist und passen sie die Formulierung an). Wieso nutzen sie zur Unterteilung in kurz und lang 20%, wieso nicht 25% (faktisch spielt das keine Rolle, aber es fehlt eine Begründung). Die Argumentation in der Einführung beginnt schon in einer Vergangenheitsform, wissenschaftliche Arbeiten schreibt man im Präsens (wird statt wurde, für den Leser hat das ja noch nicht stattgefunden). Die Erwähnung, dass in der Arbeit dann Streudiagramme enthalten sind usw. hat in der Einleitung keinen Platz. Das sieht der Leser dann schon. Generell sollten sie ihre Argumentation auf Konzepte und Prinzipien stützten, nicht auf Abläufe. </t>
  </si>
  <si>
    <t xml:space="preserve">Die Argumentation ist teilweise ok, jedoch ist unklar was die einzelnen Kapitel mit der übergeordneten Forschungsfrage zu tun haben. Alle Betrachtungen sind isoliert. </t>
  </si>
  <si>
    <t>Es ist klar zu erkennen, dass die Autoren auf ein Ziel hinarbeiten, die Argumentation ist im Rahmen der Darstellung ok, aber unvollständig.</t>
  </si>
  <si>
    <t>Die Ausführungen zu den Variablen haben in der Einleitung nichts verloren (Wieso wollen sie überhaupt eine Abgrenzung die Sie selbst künstlich einführen untersuchen? Sie wiedersprechen sich auf S.3 und S.4 in diesem Punkt!). Die Einleitung fokussiert zuweilen auf den technischen Prozess der Untersuchung (neue Variablen,...), der jedoch nicht relevant für das Problem und die untersuchte Fragestellung ist. Das 25% Quantil ist nicht das untere Quantil (S.5).</t>
  </si>
  <si>
    <t>Der Korrelationskoeffizient ist eine statistische Messgröße. Die Interpretation, dass die entsprechenden Werte in einem kausalen Zusammenhang stehen (S.13) ist falsch!</t>
  </si>
  <si>
    <t>Ihre Einleitung ist immer noch sehr generisch, Sie listen 5 verschiedene Punkte die Sie untersuchen wollen, aber nennen bei keinem entsprechende Gründe oder wieso das überhaupt relevant ist. Suchen Sie sich ein Ziel, zu dem zumindest ein Teil der aufgeworfenen Fragen passt. Analyse ist kein Selbstzweck, sondern muss ein inhaltliches Ziel verfolgen. abb.3 passt nicht zum Text (S.5). Welchen Beitrag Kapitel 7 leisten soll ist unklar, da das Kapitel fast keinen Inhalt hat und lediglich aus 3 nicht beschriebenen Abbildungen besteht. Ihre Arbeit wirkt als hätte jeder von Ihnen eine Teil geschrieben und analysiert, aber niemand die entsprechende Gesamtkomposition der Arbeit im Blick.</t>
  </si>
  <si>
    <t xml:space="preserve">Ein Literaturverzeichnis das eine Quelle mit dem Titel "Klimaprojekt der 7c" enthält ist für eine wissenschaftliche Arbeit an einer Hochschule unangemessen. Das verwendete Dezimaltrennzeichen ist nicht konsistent. Aussagen der Form "aus der Berechnung mit dem R-System" sind keine adäquaten Aussagen (Kommt etwas anderes raus, wenn Sie händisch rechnen?). Die Arbeit enthält ohne Erkennbaren Grund ein Kapitel Exposé und Zwischenabgabe, aber keine ordentliche vereinheitlichte Einleitung. Die Ausdrucksweise ist an vielen Stellen mangelhaft (z.B. S.5 "... der Durchschnitt einer Taxifahrt in New York beträgt...", S.7 "Das Ergebnis der untersuchen Korrelation zeigt, dass die tatsächliche Dauer der Fahrt positiv mit der Distanz der Route korreliert."). Nahezu keine der gezeigten Ergebnisse ist auf 4 Nachkommastellen gerundet. </t>
  </si>
  <si>
    <t>Ein Reiseblog ist keine adäquate Quelle für die Kosten der Taxifahrt. Die NYC Taxi &amp; Limousine Comission veröffentlicht die offiziellen und differenzierten Kosten einer Taxifahrt. Die Ausdrucksweise ist teilweise stark defizitär (z.B. S.3 "Daten werden auf Hypothesen untersucht"). Das Literaturverzeichnis ist unvollständig, die angesprochene Quelle von Karney ist nicht enthalten. was das Kapitel "Datenbeschreibung mit Hilfe der deskriptiven Statistik" zum Sachgegenstand der Arbeit beiträgt ist unklar, da dieses keine Ergebnisse  und nur eine generische und unvollständige Formel enthält. Tabellen sind keine Abbildungen sondern Tabellen. keine der gezeigten Zahlen ist auf 4 Nachkommastellen gerundet. Der kopierte R-Output der als Abb.3 bezeichnet wird ist für die Integration in eine wissenschaftliche Arbeit unangemessen formatiert.</t>
  </si>
  <si>
    <t>Das Inhaltsverzeichnis enthält keine Nummerierungen. Die enthaltenen Kapitelüberschriften sind nicht sprechend und teilweise nicht verständlich (Interpretation einer Hypothese ergibt keinen Sinn. Wieso ist die erste Hypothese aufgeteilt hinsichtlich Beschreibung und Interpretation und die folgenden beiden zusammengefasst? Worum es überhaupt geht ist weder aus dem Titel der Arbeit noch aus dem Inhaltsverzeichnis ersichtlich.). Der Anhang enthält nochmals alle Grafiken, keine dieser Grafiken ist verwendbar, da weder Achsenbeschriftungen noch  Beschreibungen vorhanden sind. Zudem gibt es in der Arbeit zwei Abbildungen mit der laufenden Nummer 1. Die Einführung ist eher eine Zusammenfassung, da entsprechend der Fokus auf der Darstellung der Ergebnisse liegt. Ergänzend sollten Sie dringend vorsichtiger mit den Aussagen sein ("es wurde festgestellt, dass die Vermutungen der Wahrheit entsprechen", das können Sie doch gar nicht sagen, Evidenz für die Plausibilität der Hypothesen liefert ein Hypothesentest, ob das in Wahrheit stimmt (Gültigkeit welcher Hypothese) können Sie in echten Untersuchungen NIE wissen. Keine der Beobachtungen wurde mit R erhoben (S.4), R ist eine Softwareumgebung zur Auswertung von Daten. Jede Quelle im Literaturverzeichnis muss in der Arbeit verwendet werden, wieso zitieren Sie R nicht ordnungsgemäß?</t>
  </si>
  <si>
    <t xml:space="preserve">Ihre Kapitelüberschriften sind teilweise sehr unterschiedlich in der Länge, Die entsprechenden Fragestellungen sollten Sie für die Überschrift kürzen. Der Sprachstil ist in weiten teilen unverbindlich, präzisieren Sie ihre Aussagen (was sollen z.B. diverse Vorteile von Entscheidungen sein? S.3). Zahlreiche Absätze bestehen nur aus einem Satz. Sie Beschreiben an vielen Stellen den Prozess wie sie die Ergebnisse zustande bekommen sind (z.B. ... können mit dem Befehl summary() die Extremwerte...) diese Rezepte und Prozessbeschreibungen interessieren keinen Leser. Fokussieren Sie auf den Inhalt. Sie verändern den Datensatz in Excel (S.6) dadurch ist die Analyse nicht mehr nachvollziehbar und Sie verlieren eine zentrale Eigenschaften wissenschaftlicher Analysen. Ihre Begründung dafür ist zudem nicht plausibel. Der Datensatz enthält lediglich 10000 Beobachtungen ist also ein winziger Datensatz. R ist für große Datenmengen konzipiert. Die Formatierung des Dokumentes ist mangelhaft, der Text enthält unvollständige Sätze (z.B. letzter Satz auf S.9), Abschnitte die aus einzelnen Sätzen bestehen und nicht lesbare Grafiken oder Grafiken die keine eigene fortlaufende Nummer oder Achsenbeschriftung aufweisen (S.11) oder gänzlich anderen Formatierten Text (.S.12)  </t>
  </si>
  <si>
    <t>Der Code von Anhang 1.1 passt nicht zur Arbeit. Die Arbeit zeigt eine ggplot Grafik, ihr Code erzeugt eine andere Grafik. Der Code in Anhang 1.2 erzeugt eine "Summarystastistik" für alle Variablen im Datensatz, nicht nur für die Verwendeten. Abb.2 bis Abb.5 sind Screenshots die in einer wissenschaftlichen Arbeit nichts zu suchen haben. Ein Screenshot von Zahlen ist keine Abbildung. Die erste Quellenangabe im Literaturverzeichnis ist falsch formatiert.</t>
  </si>
  <si>
    <t>Das Inhaltsverzeichnis weist eine vom Rest der Arbeit abweichende Schriftgröße und Schriftart auf. Die sprachliche Ausgestaltung der Arbeit ist zudem verbesserungsfähig (z.B. S.3, "den Determinanten" Determinanten sind Einflussgrößen). Wissenschaftliche Arbeiten schreibt man im Präsenz. Abb.2 (S.11) hat nichts mit dem diskutieren Sachverhalt zu tun. Der Text enthält viele Fehler, wie falsch geschrieben Wörter und unvollständige Sätze (z.B. S.11). Das Literaturverzeichnis ist u.a. ungenügend Formatiert (Namen der Autoren, Groß/Kleinschreibung, Qualität der Quellen).</t>
  </si>
  <si>
    <t>Die Formatierung der Arbeit ist uneinheitlich und wenig stringent. Das Inhaltsverzeichnis bildet keinen klaren Analysefluss ab, sondern besteht aus wenig zusammenhängenden Begriffen (irritierenderweise enthält die Arbeit das Exposee das eine abweichende Gliederung zeigt). Grafische Darstellungen in der Arbeit sind unscharf, Tabellen sind teilweise unscharfe Screenshots anstelle sauber formatierter Tabellen (auch Tabellen werden zudem als Abbildungen bezeichnet). Formeln sind ebenfalls Screenshots, der Formelmodus der genutzten Textverarbeitung scheint den Autoren nicht bekannt, die in den Formeln verwendete Notation wird nicht eingeführt, die dargestellten Rechnung sind nicht konsistent mit der Darstellung der Zahlen (z.B. Dezimal- und Tausendertrennzeichen) der Tabellen bzw. Screenshots. Die Arbeit verfügt nicht über ein ordentliches Literaturverzeichnis, sondern enthält unter dem Punkt "Quellenverzeichnis" lediglich eine Auflistung von Links und nicht nachvollziehbaren Punkten. Das Wort "logisch" findet sich auffällig häufig in der Arbeit (logisch interpretiert, logisch herleiten, etc.) ohne einen wirklichen Mehrwert zu leisten, da die Autoren an besagten Stellen zumeist auf die Darlegung einer überzeugenden Argumentation verzichten. Ein zugehöriges R Skript wurde nicht eingereicht, sondern lediglich eine (üblicherweise ausgeblendete) Rhistory Datei. Die Auswertung ist dementsprechend weder korrekt eingereicht worden noch nachvollziehbar dargestellt.</t>
  </si>
  <si>
    <t>Wir arbeiten mit 4 Nachkommastellen (NKS). Zahlreiche genannte Werte ignorieren diese Konvention (z.B. S.5). Die Verwendung von Dezimaltrennzeichen ist in der Arbeit nicht einheitlich (z.B. S.8). Ihr Literaturverzeichnis enthält bei der Angabe des R-Core Teams unnötige Klammern. Teile des Literaturverzeichnisses sind auf Englisch. Die Auswertung in R ist ordentlich, wenn möglich sollten Sie auf Konstrukte wie in Z.272 verzichten, da unklar ist woher die Zahlen kommen. Besser ist eine entsprechende Berechnung direkt in R ohne manuelle Schritte, sodass jede Interaktion mit den Daten vollständig nachvollziehbar bleibt.</t>
  </si>
  <si>
    <t xml:space="preserve">Präzisieren Sie ihre Ausdrucksweise (Was sollen ungefähr 9000 Beobachtungen sein, wieso sind Sie einmal genau und einmal ungenau (S.3 und S.2 bezüglich  dieser Aussage) und nutzen sie Fachvokabular (S.6 Sie erstellen keine Datensätze). Wieso sollte es unbedenklich sein 16 Beobachtungen zu streichen? Begründen Sie besser schlüssig warum die Beobachtungen entfern werden sollen.). Konzentrieren sie sich auf die Beschreibung des Inhaltes und Ergebnisses, nicht auf Abläufe. Ob sie den "summary()" Befehl benutzt haben interessiert keinen Leser. Übernehmen Sie Verantwortung für Ihre Aussagen und schieben Sie diese nicht auf "das R-System" ab. Sie sind Autoren der Arbeit und müssen die inhaltliche Korrektheit der Ergebnisse garantieren. Wenn Sei eine Aussage treffen wollen tun sie dies direkt und ohne Umwege (Sie argumentieren über die Quantile (die übrigens Lagemaße und keine Streuungsmaße sind) das der Anteil von Fahrten mit einem Passagier über 75% liegen muss. Zu den Häufigkeiten haben Sie sich ja aber vorher schon geäußert. Verzichten Sei auf Zusammenhänge die Sie nicht herstellen können, wie die Argumentation zur Kurzstrecke (S.8). Wieso sollte ihre willkürliche Unterteilung Vergleichbarkeit schaffen (S.8)? Vereinheitlichen Sie die deskriptive Statistik und Trennen sie die Betrachtung einzelner Variablen (Vorstellung der Daten) von der Analyse von Zusammenhängen. Legen sie sich auf ein Analyseziel fest. Zitieren sie fachgerecht (S.6 "siehe Spiegel Reisen" ist keine ordentliche Quellenangabe, ein deutsches Magazin zudem für regulatorische Maßnahmen in andren Ländern ungeeignet). Stellen Sie Inhalte als Tabellen dar und beschreiben sie diese fachgerecht (z.B. S.6 oben). Verzichten sie auf die Analyse von Häufigkeiten für metrische Merkmale ohne vorherige Klassifizierung (S.4). Nutzen sie den Formelmodus wo notwendig (km^2). </t>
  </si>
  <si>
    <t>Konzentrieren Sie sich auf Ergebnisse und die inhaltliche Beschreibung, anstatt auf Abläufe. Wenn Sei R verwenden, dann zitieren Sie das System entsprechend. R-Studio ist kein Statistikprogramm. Ergänzen Sie die Zwischenabgabe erforderlichen Maßzahlen, integrieren Sei dies ein den Textteil und interpretieren sie diese.</t>
  </si>
  <si>
    <t xml:space="preserve">Formulieren sie gründlicher und unter Rückgriff auf Fachvokabular (Was soll das erste Quantil sein? S.9; "das dritte Quartil findet ebenfalls weiterhin mit 2,000 Personen statt" S.7 Was soll das bedeuten? Quantile haben einen spezifischen Wert und finden nicht satt.). Bennen Sie einen Verantwortlichen für die Endabgabe, der die Arbeit hinsichtlich von Formatierung und Homogenität der Formulierungen prüft. Ihr Text wirkt noch nicht wie aus einem Guss, der Leser merkt, dass dieser von unterschiedlichen Personen geschrieben wurde. Vermeiden Sei das Wort "erheben" (und Deklinationen davon). Sie haben keine Daten erhoben. Runden Sie gezeigte Ergebnisse auf 4 Nachkommastellen (Aktuell haben Sie Ergebnisse mit 2 bis 7 NKS). Bei diskreten Größen brauchen Sie die Nachkommastellen nicht ergänzen (1,0000 Personen macht den Text unleserlich. Die  berechneten Quantile sind doch eh alle Ganzzahlig!). Ihre Beschreibungen der Berechnungen sind ok, an einigen Stellen sollten Sie noch eine Interpretation ergänzen, sodass sie die Berechnungen auch mit der Inhaltsebene verknüpfen. Ergänzen Sie ordentlich formatierte Tabellen zu den Berechneten Kennzahlen, sodass der Leser sich vor Ihrer Beschreibung selbst einen kurzen Eindruck verschaffen kann. Verbessern Sie die Qualität der Diagramme, einige sind unscharf (Exportieren Sie diese idealerweise in einem Vektorformat (EPS, SVG und nicht PNG,JPG,GIF) bevor sie diese in Word einfügen und achten Sie auf konsistenten Größe der Grafiken (Höhe, Breite, Schriftgröße). Verzichten Sie auf Rechenrezepte (z.B. S.10 "Den Variationskoeffizienten erhält man..." Sie haben doch vorher schon an mehreren Stellen Variationskoeffizienten diskutiert wieso kommt diese Beschreibung bei der dritten Hypothese (Wer prüft das? Solche Beschreibungen können Sie weglassen, jeder Leser einer wissenschaftlichen Arbeit weiß wie man den Variationskoeffizienten berechnet). Wenn Sie Berechnungen beschreiben nutzen sie Formeln (Notation erläutern und Formelmodus verwenden!). Für elementare Kennzahlen ist das nicht notwendig, sehr hilfreich ist das aber bei der Berechnung eigener Variablen (Transformationen von Sekunden in Minuten, oder für die Formulierung des entsprechenden Auswahlkriteriums für lange und kurze Fahrten). Tabellen gehören wie Abbildungen nummeriert (z.B. S.9). Wenn sie Tabellen haben wie auf S.9 und S.10 ergänzen Sie die Anzahl der Beobachtungen. Entfernen Sie offensichtliche Ausreißer und Fehler in den Daten, bevor Sie diese verwenden . </t>
  </si>
  <si>
    <t>Man merkt das Sie versuchen sich wissenschaftlich auszudrücken. Denken Sie in erster Linie bei den Formulierungen an das Untersuchungsziel. Klarheit in der Sache ist wichtiger als elaboriert klingende Sätze. Solche Ungetüme wie "Dabei wird thematisch das Ausmaß und die Relevanz der Diskrepanz behandelt, die bei den Datensätzen zur Taxinutzung in New York City vorkommen." klingen zwar irgendwie "wissenschaftlich", haben aber keine Aussage. Prüfen Sie für jeden Satz was die Konsequenz für den Leser wäre, wenn Sie diesen streichen. Ihr Text wirkt zusammenkopiert. Die einzelnen Kapitel gehen nicht ineinander über. Legen Sie eine Person fest die die Verantwortung für die Integration der Teilelemente übernimmt und zu einem gut lesbaren (!) Text zusammenfügt und diesen einheitlich formatiert.</t>
  </si>
  <si>
    <t>Verzichten Sie auf Screenshots und erstellen Sie ordentliche Tabellen! Die R-Codes können Sie in einer Datei zusammenfügen, dann spart man sich beim Nachvollziehen das mehrfache Downloaden der Daten und das unnötige multiple Ausführen der Bereinigungen.  Organisieren Sie sich so, dass Sie einen Verantwortlichen für die finale Abgabe haben, der dafür zuständig ist, dass alle Grafiken scharf und gut lesbar sind, alle Textsegmente flüssig ineinander übergehen, die einzelnen Argumentationen passgenau sind und die Arbeit eine abgeschlossenen Einheit bildet.</t>
  </si>
  <si>
    <t>Sie müssen die Rigorosität Ihrer Argumentation verbessern und mit dem in der Veranstaltung gelerntem Vokabular arbeiten. Die prozessualen Beschreibungen sind für den Leser der Arbeit nicht relevant, fokussieren Sie auf Inhalt, nicht auf den Prozess den Sie durchlaufen haben (z.B. S. "Die Werte aus dem neuen Dataframe werden anschließend..."). Gegenstand der Zwischenabgabe ist die deskriptive Statistik. Vermeiden Sie Vermischungen von Inferenzstatistik und deskriptiver Statistik. In der Vorlesung wurde zudem mehrfach darauf hingewiesen, dass ein Hypothesentest ohne Nennung der konkreten Hypothesen überflüssig ist und dann unklar ist was Sie faktisch tun. Legen Sie einen Verantwortlichen für die Endabgabe fest der alle Texte liest und in eine einheitliche Form bringt, Aussagen wie "Mean of" sind für eine auf Deutsch abgefasste wissenschaftliche Arbeit unangemessen. Von Ihnen wurden zwei Diagramme gefordert, Ihre Arbeit enthält deutlich mehr, keines der gezeigten Diagramme ist ohne Fehler, die Datenbasis aller Diagramme scheint sich zu unterscheiden und die Qualität der Diagramme ist teilweise sehr schlecht. Konzentrieren sie sich auf die geforderten Mindestanforderungen und stellen Sei diese sicher bevor Sie ergänzende Leistungen erbringen. Zwei fehlerfreie und Aussagekräftige Diagramme sind deutlich besser als 8 mangelhafte.</t>
  </si>
  <si>
    <t>Ihre Abgabe wirkt wie unter Zeitdruck zusammenkopiert. Legen Sie einen Verantwortlichen fest, der die Texte vor der Abgabe liest und sowohl von der Erscheinung als auch vom Argumentationsfluss vereinheitlicht. Nutzen Sie den Formelmodus Ihrer Textverarbeitung und achten Sei darauf das die Formeln zum Text passen (Ihre Formel für die Korrelation enthält keine Kovarianz, ihr Text dazu schon). Verzichten Sei auf generische Beschreibungen der Maßzahlen, diese kann der Leser in jedem Buch nachlesen, liefern Sie Inhalte und Einblicke in die Daten die sie verwenden. Verbessern Sie die Struktur der Arbeit fanden Sie mit der Deskriptiven Statistik an (Lage + Streuungsmaße), Untermauern Sie ihre Vermutungen mit Maßzahlen zum Zusammenhang und überprüfen Sie diesen Zusammenhang im Teil der Inferenzstatistik. Ihre Arbeit ist für die wenigen relevanten Aussagen zu lang, kürzen Sie ihre Ausführungen, entfernen Sie Grafiken ohne Aussage und konzentrieren Sie sich auf die wesentlichen Punkte die Sie für die Beantwortung ihrer Frage benötigen.</t>
  </si>
  <si>
    <t>Verzichten sie auf die Beschreibung von Variablen die Sie nicht benutzen (z.B. S.4). Wissenschaftliche Arbeiten schreibt man im Präsens. Verzichten Sei auf Beschreibungen wie man etwas berechnet, jeder Leser einer wissenschaftlichen Arbeit weiß wie man z.B. ein arithmetisches Mittel berechnet. Sie beschreiben das jedoch mehrfach in der Arbeit, was diese künstlich in die Länge zieht und  Textpassagen langweilig macht. Interpretieren sie stattdessen die Werte. Legen Sie einen Verantwortlichen fest, der die Endabgabe prüft und die Verantwortung für die finale Einreichung übernimmt und so sicherstellt, dass die Aussagen zusammen passen. Stellen Sie die Werte für die deskriptive Statistik ordentlich und gesammelt in einer Tabelle da. Stellen Sie den Datensatz gebündelt am Anfang der Arbeit vor und nicht Stück für Stück für jede Frage. Man merkt, dass Sie versuchen sich elaboriert auszudrücken, was den Text unnötig in die Länge zieht. Beispiel S.8: "Zunächst wurde untersucht, wie häufig die tatsächliche Dauer der Fahrt länger war als die vom Routenplaner berechnete. Dies war 9571 Mal der Fall. Nur in 3,8% der Fälle war die tatsächliche Zeit geringer als die berechnete." (Tempus falsch, NKS stimmen nicht, Text unnötig verkompliziert) --&gt; Nicht perfekt, aber Besser (Sie können mittlere Unterschreitung oder Überschreitung z.B. noch direkt ergänzen): "Die gemessene Dauer der Fahrten überschreitet die von der OSRM (Abkürzung vorher Einführen und QUELLE) berechnete Zeit in 9581 von XXXX Fällen. Lediglich in 3,8XX% der Fälle wurde die Planzeit unterschritten." Fast allen genannten Zahlen fehlen Einheiten. Sie interpretieren die Zeiten in Kap.6 als seien diese verallgemeinerbar, dabei führen Sie gar keinen Hypothesentest durch. Unterscheiden Sich diese überhaupt in der Grundgesamtheit? Woran machen sie fest, dass eine U-Bahnfahrt langsamer ist? Die von U-Bahnen zurückgelegte Strecken sind doch ganz andere. Führen Sie Variablen und deren Bedeutung zu Beginn der Abriet (mit der Deskriptiven Statistik) ein. Die Beschreibung der Werte auf S.8 (Mitte) ist einem Leser nicht zumutbar. Nutzen Sie entsprechendes Fachvokabular (osrm_duration ist kein Datensatz (S.8) sondern eine Variable eines Datensatzes).</t>
  </si>
  <si>
    <t>Hinweis:</t>
  </si>
  <si>
    <t>Abmeldung Selim Durmaz (30196809, 6.7.2021), Abmeldung Angelina Kostuzenko (10060667, 5.7.2021), Abmeldung Aylin Colak (30197369, 5.7.2021)</t>
  </si>
  <si>
    <t>Abmeldung von Seval Öz (30068652, 5.7.2021) und Cetin Kurt (10059161, 5.7.2021), Abmeldung von Sarah Mensing (30197976, 28.6.2021) und Firuzan Banaz (30196979, 28.6.2021)</t>
  </si>
  <si>
    <t>Abmeldung Oguzhan Dagdelen (30105553, 29.07.2021)</t>
  </si>
  <si>
    <t>Orientierung am Studienbuch "Wissenschaftliches Arbeiten" oder einem (benannten) wissenschaftlichen Journal.</t>
  </si>
  <si>
    <t>Die Argumentation in der Arbeit und die ordnungsgemäße Verwendung von Fachvokabular ist defizitär (z.B. S.3 "… wird diese Hypothese auf Unterschiede untersucht ...", S.5 "große Spannweite … ist auf große Streuung zurückzuführen").</t>
  </si>
  <si>
    <r>
      <rPr>
        <b/>
        <sz val="12"/>
        <color theme="1"/>
        <rFont val="Calibri"/>
        <family val="2"/>
        <scheme val="minor"/>
      </rPr>
      <t>Formalia (Endabgabe)</t>
    </r>
    <r>
      <rPr>
        <sz val="12"/>
        <color theme="1"/>
        <rFont val="Calibri"/>
        <family val="2"/>
        <scheme val="minor"/>
      </rPr>
      <t xml:space="preserve">
- Angemessene wissenschaftliche Gestaltung des finalen Dokumentes (Text, Grafiken, etc.)</t>
    </r>
  </si>
  <si>
    <t>Das 3. Quartil ist kein Intervall und kann infolgedessen auch keinen Bereich beschreiben (S.4). Die deskriptive Statistik ist lediglich Fließtext und dadurch sehr unübersichtlich. Bei fast allen Angaben fehlen Einheiten. Es ist unklar welche Variablen des Datensatzes die Atuoren faktisch ntuzen. Der Datensatz enthält keine Variable "Duration". Der R-Code zeigt, dass die Autoren mit der Variablen "osrm_duration" arbeiten. Wieso hier nicht die faktische Dauer der Fahrten ("trip_duration") genutzt wird ist unklar.</t>
  </si>
  <si>
    <t>Die R-Datei enthält 100 Zeilen unnötigen Programmcode, der lediglich vom Dozenten kopiert wurde aber nicht zur Arbeit der Autoren gehört. An zahlreichen stellen ist der Programmcode nur schwer nachvollziehbar. Weiso die Autoren nicht die Funktion range() oder zumindest max() und min() für die Berechnung der Spannweite nutzen ist gänzlich unklar. Der verbleibende Code ist schlecht strukturiert und schwer nachvollziehbar.</t>
  </si>
  <si>
    <t>Die Interpretationen von Testergebnissen sind falsch, die Autoren trennen nicht zwischen Effektgröße und implizitem Signifikanzniveau. Der p-Wert lässt keine Rückschlüsse auf die Effektgröße zu (S.13).</t>
  </si>
  <si>
    <t>Ein Teil der aufgeworfenen Fragen wurde nachvollziehbar mit akzeptablen Mitteln beantwortet.</t>
  </si>
  <si>
    <t>Wieso die Autoren für den Chi-Quadrat-Test ausschließlich zusammengefasste Gruppen nutzen ist unklar. Die gewählte analytische Methode ist für die Beantwortung der dritten Hypothese ungeeignet.</t>
  </si>
  <si>
    <t>Ausführungen weitgehend ok, unklar ist jedoch wieso die Autoren Streuungsmaße als groß oder klein deklarieren (z.B. Kap.2.2) Irritierend sind hier vor allem die Ausführungen zu Spannweite (z.B. Abschitt "Fahrtdauer und Fahrtstrecke"). Die Darstellung zum Fahrtzeitpunkt ist nicht nachvollziehbar, die erstellte Hilfsvariable "Tageszeit" (Abb.5) nicht erkäutet. Wann für die Autoren z.B. "Morgens" ist ist unklar.</t>
  </si>
  <si>
    <t xml:space="preserve">Die Argumentation ist in weiten Teilen schlüssig und nachvollziehbar. Kap.2.3 zeigt hier jedoch defizite, da ohne die Durchführung eines Test von Signifikanz gesprochen wird. </t>
  </si>
  <si>
    <t>Regression: Die Ergebnisse sind nicht adäquat dargestellt. Due Atuoren zeigen weder Standardabweichung noch t-Statistiken der bestimmten Schätzer. Die Variablen sind generisch mit "x" bezeichnet, was die Interpretation schwer nachvollzihebar macht. Die Variable "Monat zu Beginn der Fahrt" wurde nicht beschrieben. Die Einbettugn als metrische Größe ist ungerechtfertigt.</t>
  </si>
  <si>
    <t>Chi-Quadrat-Test: Die Auswahl des Tests ist nicht begründet, das genaue Testsezanrio nicht benannt. Der Wert der berechenten Teststatistik wird nicht gezeigt und die Argumentation stützt sich weitgehend blind auf p-Werte.</t>
  </si>
  <si>
    <t xml:space="preserve">Die aufgeworfenen Fragen wurden in akzeptabler Teife beantwortet.  </t>
  </si>
  <si>
    <t>Die R-Datei ist schwach strukturiert, enthält keine Erläuterungen und enthält überflüssige Befehle (z.B. attach).</t>
  </si>
  <si>
    <t>Die aufgestellten Hypothesen sind  unbegründet. Die Arbeit enthält unnötige Beschreibungen (z.B. S.2 Zuordnung von Maßzhalen in Kategroien) und zeigt nicht beschriebene oder Erläuterte Maßzahlen die für den Gang der Untersuchung nicht relevant sind. Das sprachliche Niveau der Arbeit ist stark verbesserungsfähig. Zahlreiche Beschreibungen stüzten sich auf prozessuale Abläufe.</t>
  </si>
  <si>
    <t>Mittelwertvergleich: Die Methodenauswahl ist unbegründet, die berechneten Vergleichswerte erlauben die Beurteilung der Frage nicht. Die Autoren wollen prüfen ob Taxifahrten Montags länger dauern als an allen anderen Wochentagen, führen aber keine entsprechenden Tests durch, sondern vergelichen den Mittelwert des Montags mit dem Mittelwert der Fahrtdauern von Dienstags bis Sonntag (ein Mittelwert).</t>
  </si>
  <si>
    <t>Die Arbeit enthält unterschiedliche Schriftarten, keine schlüssige Notation (Alpha mal in Textform und mal als Symbol), zeigt maximal 3 NKS und lässt in der Darstellung die notwendige Sorgfalt vermissen.</t>
  </si>
  <si>
    <t>Regression: Die Autoren formulieren kein nachvollzihebares Modell, zeigen keine Geradegleichung und  verzichtne auf die wesentlichen Kennziffern zur Darstellung der geschätzen Parameter. Wieso die ausgewählten Variablen gewählte wurden ist unklar, faktisch ist auch die Zuordnung zu abhängigen und unabhängigen Variablen nicht aus dem Textteil ersichtlich.</t>
  </si>
  <si>
    <t>Die Autoren versuchen einen Teil der aufgestellten Fragen zu beantworten.</t>
  </si>
  <si>
    <t>Die deskriptive Statistik wurde nur für einen Teil der verwendeten Maßzahlen berechnet, enthält irrelevante und nicht erläuterte Maßzahlen und bereitet die analytischen verfahren nicht adequat vor.</t>
  </si>
  <si>
    <t>Die Daten werde nicht auf Plausbilität geprüft, der Quellcode enthält keine Erläuterungen und unnötige (z.B. doppelte) Berechnungen.</t>
  </si>
  <si>
    <t>Das sprachliche Niveau der Arbeit ist stark verbesserugsfähig. Vereinzelt finden sich rezeptartige Beschreibungen. Generell wirkt das abgegebene Dokument unvollständig und nicht final bearbeitet. Für eine wissenschaftliche Arbeit an einer Hochschule ist das eingereichte Dokument nicht angemessen.</t>
  </si>
  <si>
    <t>Ansätze von deskriptiver Statistik sind zu erkennen.</t>
  </si>
  <si>
    <t xml:space="preserve">Chi-Quadrat-Test: Die Autoren geben an einen Chi-Quadrat-Test durchzuführen, die erforderlichen Kennzahlen für die Interpretation des Tests werden jedoch nicht benannt, gezeigt oder  interpretiert. </t>
  </si>
  <si>
    <t xml:space="preserve">Regression: Die Autoren geben ein eine Regressionanalyse durchzuführen, Ergebnisse sind in der Arbeit aber nicht enthalten. </t>
  </si>
  <si>
    <t xml:space="preserve">Die  vorgelegte Arbeit hat keine erkennbar klare Struktur, zielgerichtete Argumentationen die als Antwort auf klar abgegrenzte Forschugnsfragen zu deuten sind fehlen. Zahlreiche Beschreibungen sind prozessorientiert und frei vom zu untersuchenden Inhalt. </t>
  </si>
  <si>
    <t xml:space="preserve">Die Arbeit enthält unvollständige Sätze, nicht eingeführte Notation, unbenannte Grafiken und verzichtet an viele Stellen auf die Nennugn von Einheiten. </t>
  </si>
  <si>
    <t>Es wurde keine Datei mit Programmcode abgegeben.</t>
  </si>
  <si>
    <t>Das Inhaltsverzeichnis ist nicht ordnugnsgemäß formatiert. Grafiken fehlt der Titel und Einheiten sind nicht benannt. Die Arbeit ist frei von wissenschaftlicher Notation und Symbolen. Die Exponentendarstellung aus R wurde einfach in die Arbeit kopiert. Die Unterkapitel der eigentlichen Untersuchung sind nicht weiter strukturiert. DIe Quellen des Literaturverezichnisses sind nicht im Text zitiert.</t>
  </si>
  <si>
    <t xml:space="preserve">Die deskriptive Statistik ist nachvollziehbar und infromativ, jedoch unvollständig. So werden für die Variablen in Kap.2.1 keine Streuungsmaße gezeigt. Die berechneten Werte werden zwar gezeigt und benannt, aber an vielen Stellen nicht Interpretiert oder hinsichtlich Ihrer faktischen Bedeutung diskutiert. </t>
  </si>
  <si>
    <t>Einige Tabellen sind lediglich Screenshots. Der Arbeit fehlt durchgehend die Formalisierung, dadurch sind z.B. die auf S.12 gezeigten Regressionsgleichungen schwer nachvollziehbar. Wieso die Autoren hier keine üblich eNotation nutzen ist unklar. Gleiches gilt für die weitgehend achtlos kopirten Inahlte der Varianzanalyse.</t>
  </si>
  <si>
    <t xml:space="preserve">Regression: Wieso die Autoren lediglich eine univariate Regression zeigen ist unklar. Die gezeigten Werte sind ok, jedoch ungewähnlihc kompliziert abgebildet. </t>
  </si>
  <si>
    <t>Varianzanalyse + paarweise T-Tests: Die Analyse is gurndsätzlich in Ordnung, jedoch ist unklar was in den Tabellen dargestellt wird, da diese weder hinreichen beschrieben noch verständlich im Fließtext erläutert werden. So scheint Tab.6 lediglich p-Werte zu zeigen, die faktische Größenordnung der damit untersuchten Unterscheide bliebt dem Leser jedoch vorenthalten.</t>
  </si>
  <si>
    <t>R-Datei ok, teilweise wären ausführliche Kommentare Wünscheswert.</t>
  </si>
  <si>
    <t>Der Argumentationsstil der Arbeit ist weitgehend nachvollziehbar,  faktenorientiert und auf einen erkennbaren Sachzweck hin ausgerichtet.</t>
  </si>
  <si>
    <t xml:space="preserve"> Die Aussagen im Fazit sind nachvollziehbar und die generierten Aussagen transparent und konstruktiv. Wirklich eKritik am eigenen Vrogehen fehlt jedoch vollständig.</t>
  </si>
  <si>
    <t>Die Kapitel sind nicht nummeriert und der gesamte Hauptteil der Arbeit in einem Kapitel zusammengefasst ("Beschreibung des Datensatzes").</t>
  </si>
  <si>
    <t>Die Arbeit enthält keien Streuungs oder Zusammenhangsamße.</t>
  </si>
  <si>
    <t>Weite Teile der Arbeit sind unbegründet. S.5 hat zum Ziel die Unterteilung in kurze/mittlere/lange Fahrten zu begründen, hat aber faktisch keinen Inhalt und begründet die gewählte Unterteilung weder inhaltlich noch empirisch.</t>
  </si>
  <si>
    <t>Regression: dIe Autoren führen nur eine univariate Regression durch, zeigen keinen Output und diskutieren keine Regressionsparameter. Die untersuchte Hypothese ist zudem faktisch unebgründet, es wird kein Wirkmechanismus diskutiert.</t>
  </si>
  <si>
    <t>Chi-Quadrat-Test: Die getätigten Aussagen sind unbegründet, gleiches gilt für di eHypothese. Laut der Atuoren gibt es Zellhäufigkeiten unter 5, bennenn diese aber nicht und passen die Untersuchung auch ncih tin adäquater Art und Weise an.</t>
  </si>
  <si>
    <t>Die R-Datei ist nicht Abgabefertig formatiert, enthält Fehler und unnötigen Programmcode.</t>
  </si>
  <si>
    <t xml:space="preserve">Die Argumentation der Autoren weißt zahlreiche Defizite auf und ist nur selten überzeugend. </t>
  </si>
  <si>
    <t>Die Argumentation ist lückenhaft und weist an vielen Stellen Mängel auf (z.B. S.6 "mit Hilfe von deskriptiver Statistik (wird) gezeigt, ob die Passagieranzahl einen Einfluss auf die Dauer der Taxifahrt hat").</t>
  </si>
  <si>
    <t>Die Autoren Arguemtneiren, dass Fehler im Datensatz vorhanden sind, enthaltem dem Leser die Anzahl der entfernten Beobachtungen jedoch vor. Wieso in Abb.2 keine ordentliche Grafik für Verteilungen gewählt wurde ist unklar. In der Arbeit werden keine univariaten Streuungsmaße gezeigt.</t>
  </si>
  <si>
    <t>Chi-Quadrat-Test: Die Atuoren nutzen für den Chi-QuadratTest zwei nicht-klassifizierte stetige Merkmale.</t>
  </si>
  <si>
    <t>Regression: Die gezeigte Formel passt nicht zur Ergebenistabelle (Abb.7). Die "Interpretation" der Ergebnisse ist mangelhaft, faktisch werden die ermittelten Koeffizienten überhaupt nicht interpretiert.</t>
  </si>
  <si>
    <t>Tabellen bezeichnen die Autoren als Abbildung. Abb.3 zeigt laut Titel absolute und relative Häufigkeiten, die Tabelle enthält jedoch nur absolute Häufigkeiten. Formeln sind nur teilweise im Formelmodus gesetzt.</t>
  </si>
  <si>
    <t>Die R-Datei ist in der Form nicht ausführbar, da keine Daten eingelesen werden. Der Programmcode ist faktisch ungeordnet und nur schwer mit den Inahlten der Arbeit in Einklang zu bringen.</t>
  </si>
  <si>
    <t>Die Autoren versuchen einen Teil der aufgeworfenen Fragen zu beantworten.</t>
  </si>
  <si>
    <t>Keine der in der Arbeit enthaltenen Abbildungen oder Tabellen sind Screenshots</t>
  </si>
  <si>
    <t>Keine der in der Arbeit enthaltenen Abbildungen werden bei hineinzoomen unscharf</t>
  </si>
  <si>
    <t>Die Autoren behaupten die maximale Passagiernazahl im Datensatz beträgt 8, listen in Abb.4 aber eldiglich 6. In der Folge ist z.B. die Spannweite (vermutlich) nicht korrekt berechnet worden.</t>
  </si>
  <si>
    <t>Regression: Wieso die Autoren nur eine univariate Analyse nutzen, obwohl unmittelbar vor der Regressionsanalyse eine Abhängigkeit nachgewiesen wurde ist unklar. Die ermittelten Koeffizienten werden nicht intrepretiert.</t>
  </si>
  <si>
    <t>Die tatsächlich gefahrene Strecke (S.4) ist nicht im Datensatz enthalten. Die Argumentation im Hauptteil der Arbeit ist nachvollziehbar.</t>
  </si>
  <si>
    <t>Screenshots, fehlender Formelmodus, Grafiken ohne Einheiten.</t>
  </si>
  <si>
    <t>Nachvollziehbarer Programmcode</t>
  </si>
  <si>
    <t>Eine Stärkere Verknüpfung der empirie mit der Fragestellung ist wünschenswert und eine kritische Würdigung des Analyseansatzes fehlt.</t>
  </si>
  <si>
    <t>Chi-Quadrat-Test: OK</t>
  </si>
  <si>
    <t>Keine Abgabe erfolgt</t>
  </si>
  <si>
    <t>Bestanden</t>
  </si>
  <si>
    <t>Aktiv</t>
  </si>
  <si>
    <t xml:space="preserve"> </t>
  </si>
  <si>
    <t>Lagemaße ok. Streuungsmaße finden sich nur im Anhang und spielen im Text keine bewertbare Rolle.</t>
  </si>
  <si>
    <t>Selim Durmaz</t>
  </si>
  <si>
    <t>Angelina Kostuzenko</t>
  </si>
  <si>
    <t>Oguzhan Dagdelen</t>
  </si>
  <si>
    <t>Sarah Mensing</t>
  </si>
  <si>
    <t>Firuzan Banaz</t>
  </si>
  <si>
    <t>Cetin Kurt</t>
  </si>
  <si>
    <t>Seval Öz</t>
  </si>
  <si>
    <t>AE</t>
  </si>
  <si>
    <t>AF</t>
  </si>
  <si>
    <t>AH</t>
  </si>
  <si>
    <t>AJ</t>
  </si>
  <si>
    <t>AL</t>
  </si>
  <si>
    <t>AM</t>
  </si>
  <si>
    <t>AO</t>
  </si>
  <si>
    <t>AP</t>
  </si>
  <si>
    <t>Auswahlliste</t>
  </si>
  <si>
    <t>Datum</t>
  </si>
  <si>
    <t>Die Arbeit zeigt keine Seitenzahlen. Es werden nur zwei Untergliederungsebenen gezeigt, faktisch aber drei verwendet (z.B. Kap.2). Die Arbeit listet im Literaturverzeichnis lediglich eine Quelle. Grafiken sind nicht konsistent in der formtierung und Achsenbeschriftung.</t>
  </si>
  <si>
    <t>Kommunikationsverantwortlicher Autor:</t>
  </si>
  <si>
    <t>Quantil (ECTS-Grad) [nur Korrektor]</t>
  </si>
  <si>
    <t>Startspalte:</t>
  </si>
  <si>
    <t>Punkte (Gruppenarbeit)</t>
  </si>
  <si>
    <t>Das Deckblatt enthält ein Bild, Angabe zum genauen Datum der Arbeit fehlt, der Gruppensprecher ist nicht gekennzeichnet, der Titel der Arbeit ist zu Kurz sodass unklar ist was mit Optimierung gemeint ist. Die Arbeit hat abgesehen vom Blocksatz keine Formatierung (Kapitelmarken, Literaturverzeichnis,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</si>
</sst>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7]d/\ mmmm\ yyyy;@"/>
  </numFmts>
  <fonts count="14" x14ac:knownFonts="1">
    <font>
      <sz val="12"/>
      <color theme="1"/>
      <name val="Calibri"/>
      <family val="2"/>
      <scheme val="minor"/>
    </font>
    <font>
      <sz val="12"/>
      <color theme="1"/>
      <name val="Calibri"/>
      <family val="2"/>
      <scheme val="minor"/>
    </font>
    <font>
      <b/>
      <sz val="12"/>
      <color theme="1"/>
      <name val="Calibri"/>
      <family val="2"/>
      <scheme val="minor"/>
    </font>
    <font>
      <u/>
      <sz val="12"/>
      <color theme="1"/>
      <name val="Calibri (Textkörper)"/>
    </font>
    <font>
      <sz val="12"/>
      <color theme="1"/>
      <name val="Calibri"/>
      <family val="2"/>
    </font>
    <font>
      <b/>
      <sz val="12"/>
      <color theme="1"/>
      <name val="Calibri"/>
      <family val="2"/>
    </font>
    <font>
      <b/>
      <sz val="12"/>
      <color theme="1"/>
      <name val="Calibri (Textkörper)"/>
    </font>
    <font>
      <sz val="12"/>
      <color theme="1"/>
      <name val="Calibri (Textkörper)"/>
    </font>
    <font>
      <b/>
      <sz val="12"/>
      <color theme="0"/>
      <name val="Calibri (Textkörper)"/>
    </font>
    <font>
      <b/>
      <sz val="12"/>
      <color theme="0"/>
      <name val="Calibri"/>
      <family val="2"/>
    </font>
    <font>
      <b/>
      <sz val="24"/>
      <color theme="1"/>
      <name val="Calibri"/>
      <family val="2"/>
      <scheme val="minor"/>
    </font>
    <font>
      <b/>
      <sz val="12"/>
      <color rgb="FFFF0000"/>
      <name val="Calibri"/>
      <family val="2"/>
      <scheme val="minor"/>
    </font>
    <font>
      <sz val="12"/>
      <color rgb="FF000000"/>
      <name val="Calibri"/>
      <family val="2"/>
      <scheme val="minor"/>
    </font>
    <font>
      <sz val="8"/>
      <name val="Calibri"/>
      <family val="2"/>
      <scheme val="minor"/>
    </font>
  </fonts>
  <fills count="6">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79998168889431442"/>
        <bgColor indexed="64"/>
      </patternFill>
    </fill>
  </fills>
  <borders count="25">
    <border>
      <left/>
      <right/>
      <top/>
      <bottom/>
      <diagonal/>
    </border>
    <border>
      <left/>
      <right/>
      <top/>
      <bottom style="double">
        <color indexed="64"/>
      </bottom>
      <diagonal/>
    </border>
    <border>
      <left/>
      <right style="thin">
        <color indexed="64"/>
      </right>
      <top/>
      <bottom/>
      <diagonal/>
    </border>
    <border>
      <left/>
      <right style="thin">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diagonal/>
    </border>
    <border>
      <left/>
      <right/>
      <top style="double">
        <color indexed="64"/>
      </top>
      <bottom/>
      <diagonal/>
    </border>
    <border>
      <left/>
      <right style="thin">
        <color indexed="64"/>
      </right>
      <top style="double">
        <color indexed="64"/>
      </top>
      <bottom/>
      <diagonal/>
    </border>
    <border>
      <left style="thin">
        <color indexed="64"/>
      </left>
      <right style="thin">
        <color indexed="64"/>
      </right>
      <top style="thin">
        <color theme="0" tint="-0.34998626667073579"/>
      </top>
      <bottom style="thin">
        <color theme="0" tint="-0.34998626667073579"/>
      </bottom>
      <diagonal/>
    </border>
    <border>
      <left style="thin">
        <color indexed="64"/>
      </left>
      <right/>
      <top style="thin">
        <color theme="0" tint="-0.34998626667073579"/>
      </top>
      <bottom style="thin">
        <color theme="0" tint="-0.34998626667073579"/>
      </bottom>
      <diagonal/>
    </border>
    <border>
      <left/>
      <right style="thin">
        <color indexed="64"/>
      </right>
      <top style="thin">
        <color theme="0" tint="-0.34998626667073579"/>
      </top>
      <bottom style="thin">
        <color theme="0" tint="-0.34998626667073579"/>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xf numFmtId="9" fontId="1" fillId="0" borderId="0" applyFont="0" applyFill="0" applyBorder="0" applyAlignment="0" applyProtection="0"/>
  </cellStyleXfs>
  <cellXfs count="231">
    <xf numFmtId="0" fontId="0" fillId="0" borderId="0" xfId="0"/>
    <xf numFmtId="49" fontId="0" fillId="0" borderId="0" xfId="0" applyNumberFormat="1" applyAlignment="1">
      <alignment wrapText="1"/>
    </xf>
    <xf numFmtId="0" fontId="0" fillId="0" borderId="0" xfId="0" applyAlignment="1">
      <alignment horizontal="center" vertical="center"/>
    </xf>
    <xf numFmtId="0" fontId="2" fillId="0" borderId="0" xfId="0" applyFont="1" applyAlignment="1">
      <alignment horizontal="center" vertical="center"/>
    </xf>
    <xf numFmtId="0" fontId="0" fillId="0" borderId="1" xfId="0" applyBorder="1" applyAlignment="1">
      <alignment horizontal="center" vertical="center"/>
    </xf>
    <xf numFmtId="49" fontId="0" fillId="0" borderId="0" xfId="0" applyNumberFormat="1" applyBorder="1" applyAlignment="1">
      <alignment wrapText="1"/>
    </xf>
    <xf numFmtId="0" fontId="0" fillId="0" borderId="0" xfId="0" applyBorder="1" applyAlignment="1">
      <alignment horizontal="center" vertical="center"/>
    </xf>
    <xf numFmtId="49" fontId="2" fillId="0" borderId="0" xfId="0" applyNumberFormat="1" applyFont="1" applyBorder="1" applyAlignment="1">
      <alignment horizontal="left" vertical="center" wrapText="1"/>
    </xf>
    <xf numFmtId="49" fontId="2" fillId="0" borderId="0" xfId="0" applyNumberFormat="1" applyFont="1" applyAlignment="1">
      <alignment vertical="center" wrapText="1"/>
    </xf>
    <xf numFmtId="0" fontId="0" fillId="0" borderId="0" xfId="0" applyFill="1"/>
    <xf numFmtId="0" fontId="2" fillId="0" borderId="0" xfId="0" applyFont="1"/>
    <xf numFmtId="49" fontId="2" fillId="0" borderId="0" xfId="0" applyNumberFormat="1" applyFont="1" applyFill="1" applyAlignment="1">
      <alignment wrapText="1"/>
    </xf>
    <xf numFmtId="0" fontId="0" fillId="0" borderId="0" xfId="0" applyFont="1" applyFill="1" applyAlignment="1">
      <alignment horizontal="center" vertical="center"/>
    </xf>
    <xf numFmtId="0" fontId="0" fillId="0" borderId="0" xfId="0" applyFont="1" applyFill="1"/>
    <xf numFmtId="0" fontId="5" fillId="0" borderId="0" xfId="0" applyFont="1" applyFill="1"/>
    <xf numFmtId="0" fontId="2" fillId="0" borderId="0" xfId="0" applyFont="1" applyFill="1"/>
    <xf numFmtId="0" fontId="0" fillId="0" borderId="0" xfId="0" applyFont="1"/>
    <xf numFmtId="0" fontId="7" fillId="0" borderId="0" xfId="0" applyFont="1" applyFill="1"/>
    <xf numFmtId="49" fontId="6" fillId="0" borderId="0" xfId="0" applyNumberFormat="1" applyFont="1" applyFill="1" applyAlignment="1">
      <alignment vertical="center" wrapText="1"/>
    </xf>
    <xf numFmtId="0" fontId="2" fillId="3" borderId="0" xfId="0" applyFont="1" applyFill="1" applyAlignment="1">
      <alignment horizontal="center" vertical="center"/>
    </xf>
    <xf numFmtId="49" fontId="2" fillId="3" borderId="0" xfId="0" applyNumberFormat="1" applyFont="1" applyFill="1" applyAlignment="1">
      <alignment wrapText="1"/>
    </xf>
    <xf numFmtId="0" fontId="2" fillId="3" borderId="0" xfId="0" applyFont="1" applyFill="1"/>
    <xf numFmtId="49" fontId="2" fillId="0" borderId="0" xfId="0" applyNumberFormat="1" applyFont="1" applyFill="1" applyAlignment="1">
      <alignment vertical="center" wrapText="1"/>
    </xf>
    <xf numFmtId="0" fontId="0" fillId="4" borderId="0" xfId="0" applyFont="1" applyFill="1"/>
    <xf numFmtId="0" fontId="2" fillId="3" borderId="0" xfId="0" applyFont="1" applyFill="1" applyAlignment="1">
      <alignment horizontal="left" vertical="center"/>
    </xf>
    <xf numFmtId="49" fontId="2" fillId="0" borderId="0" xfId="0" applyNumberFormat="1" applyFont="1" applyFill="1" applyAlignment="1">
      <alignment horizontal="left" wrapText="1"/>
    </xf>
    <xf numFmtId="49" fontId="0" fillId="0" borderId="0" xfId="0" applyNumberFormat="1" applyAlignment="1">
      <alignment horizontal="left" wrapText="1"/>
    </xf>
    <xf numFmtId="49" fontId="2" fillId="3" borderId="0" xfId="0" applyNumberFormat="1" applyFont="1" applyFill="1" applyAlignment="1">
      <alignment horizontal="left" wrapText="1"/>
    </xf>
    <xf numFmtId="49" fontId="0" fillId="0" borderId="0" xfId="0" applyNumberFormat="1" applyBorder="1" applyAlignment="1">
      <alignment horizontal="left" wrapText="1"/>
    </xf>
    <xf numFmtId="49" fontId="2" fillId="0" borderId="0" xfId="0" applyNumberFormat="1" applyFont="1" applyAlignment="1">
      <alignment horizontal="center" vertical="center" wrapText="1"/>
    </xf>
    <xf numFmtId="49" fontId="0" fillId="0" borderId="0" xfId="0" applyNumberFormat="1" applyFont="1" applyAlignment="1">
      <alignment wrapText="1"/>
    </xf>
    <xf numFmtId="49" fontId="0" fillId="0" borderId="0" xfId="0" applyNumberFormat="1" applyFont="1" applyAlignment="1">
      <alignment horizontal="left" wrapText="1"/>
    </xf>
    <xf numFmtId="0" fontId="0" fillId="0" borderId="0" xfId="0" applyFont="1" applyAlignment="1">
      <alignment horizontal="center" vertical="center"/>
    </xf>
    <xf numFmtId="0" fontId="0" fillId="0" borderId="0" xfId="0" applyFont="1" applyAlignment="1">
      <alignment horizontal="left"/>
    </xf>
    <xf numFmtId="0" fontId="0" fillId="0" borderId="2" xfId="0" applyBorder="1"/>
    <xf numFmtId="0" fontId="5" fillId="0" borderId="4" xfId="0" applyFont="1" applyFill="1" applyBorder="1"/>
    <xf numFmtId="0" fontId="2" fillId="0" borderId="4" xfId="0" applyFont="1" applyFill="1" applyBorder="1"/>
    <xf numFmtId="0" fontId="0" fillId="4" borderId="4" xfId="0" applyFont="1" applyFill="1" applyBorder="1"/>
    <xf numFmtId="0" fontId="5" fillId="3" borderId="4" xfId="0" applyFont="1" applyFill="1" applyBorder="1"/>
    <xf numFmtId="0" fontId="4" fillId="0" borderId="4" xfId="0" applyFont="1" applyBorder="1"/>
    <xf numFmtId="49" fontId="2" fillId="0" borderId="4" xfId="0" applyNumberFormat="1" applyFont="1" applyFill="1" applyBorder="1" applyAlignment="1">
      <alignment vertical="center" wrapText="1"/>
    </xf>
    <xf numFmtId="49" fontId="2" fillId="0" borderId="4" xfId="0" applyNumberFormat="1" applyFont="1" applyBorder="1" applyAlignment="1">
      <alignment vertical="center" wrapText="1"/>
    </xf>
    <xf numFmtId="49" fontId="2" fillId="0" borderId="0" xfId="0" applyNumberFormat="1" applyFont="1" applyBorder="1" applyAlignment="1">
      <alignment horizontal="center" vertical="center" wrapText="1"/>
    </xf>
    <xf numFmtId="49" fontId="8" fillId="2" borderId="0" xfId="0" applyNumberFormat="1" applyFont="1" applyFill="1" applyAlignment="1">
      <alignment wrapText="1"/>
    </xf>
    <xf numFmtId="49" fontId="8" fillId="2" borderId="0" xfId="0" applyNumberFormat="1" applyFont="1" applyFill="1" applyAlignment="1">
      <alignment horizontal="left" wrapText="1"/>
    </xf>
    <xf numFmtId="0" fontId="8" fillId="2" borderId="0" xfId="0" applyFont="1" applyFill="1" applyAlignment="1">
      <alignment horizontal="center" vertical="center"/>
    </xf>
    <xf numFmtId="0" fontId="8" fillId="2" borderId="4" xfId="0" applyFont="1" applyFill="1" applyBorder="1"/>
    <xf numFmtId="0" fontId="8" fillId="2" borderId="0" xfId="0" applyFont="1" applyFill="1"/>
    <xf numFmtId="0" fontId="4" fillId="0" borderId="2" xfId="0" applyFont="1" applyBorder="1" applyAlignment="1">
      <alignment vertical="top" wrapText="1"/>
    </xf>
    <xf numFmtId="49" fontId="7" fillId="0" borderId="0" xfId="0" applyNumberFormat="1" applyFont="1" applyFill="1" applyAlignment="1">
      <alignment horizontal="center" vertical="center" wrapText="1"/>
    </xf>
    <xf numFmtId="49" fontId="0" fillId="0" borderId="0" xfId="0" applyNumberFormat="1" applyFont="1" applyFill="1" applyAlignment="1">
      <alignment horizontal="center" vertical="center" wrapText="1"/>
    </xf>
    <xf numFmtId="49" fontId="0" fillId="0" borderId="0" xfId="0" applyNumberFormat="1" applyAlignment="1">
      <alignment horizontal="center" vertical="center" wrapText="1"/>
    </xf>
    <xf numFmtId="0" fontId="9" fillId="2" borderId="2" xfId="0" applyFont="1" applyFill="1" applyBorder="1" applyAlignment="1">
      <alignment vertical="top" wrapText="1"/>
    </xf>
    <xf numFmtId="0" fontId="4" fillId="0" borderId="9" xfId="0" applyFont="1" applyBorder="1" applyAlignment="1">
      <alignment vertical="top" wrapText="1"/>
    </xf>
    <xf numFmtId="0" fontId="9" fillId="2" borderId="9" xfId="0" applyFont="1" applyFill="1" applyBorder="1" applyAlignment="1">
      <alignment vertical="top" wrapText="1"/>
    </xf>
    <xf numFmtId="0" fontId="5" fillId="0" borderId="2" xfId="0" applyFont="1" applyBorder="1" applyAlignment="1">
      <alignment vertical="top" wrapText="1"/>
    </xf>
    <xf numFmtId="49" fontId="8" fillId="2" borderId="6" xfId="0" applyNumberFormat="1" applyFont="1" applyFill="1" applyBorder="1" applyAlignment="1">
      <alignment wrapText="1"/>
    </xf>
    <xf numFmtId="0" fontId="8" fillId="2" borderId="8" xfId="0" applyFont="1" applyFill="1" applyBorder="1" applyAlignment="1">
      <alignment vertical="top" wrapText="1"/>
    </xf>
    <xf numFmtId="0" fontId="5" fillId="3" borderId="2" xfId="0" applyFont="1" applyFill="1" applyBorder="1" applyAlignment="1">
      <alignment vertical="top" wrapText="1"/>
    </xf>
    <xf numFmtId="0" fontId="4" fillId="0" borderId="3" xfId="0" applyFont="1" applyBorder="1" applyAlignment="1">
      <alignment vertical="top" wrapText="1"/>
    </xf>
    <xf numFmtId="49" fontId="0" fillId="0" borderId="0" xfId="0" applyNumberFormat="1" applyFont="1" applyAlignment="1">
      <alignment horizontal="center" vertical="center" wrapText="1"/>
    </xf>
    <xf numFmtId="0" fontId="5" fillId="0" borderId="2" xfId="0" applyFont="1" applyBorder="1" applyAlignment="1">
      <alignment horizontal="center" vertical="top" wrapText="1"/>
    </xf>
    <xf numFmtId="0" fontId="5" fillId="0" borderId="11" xfId="0" applyFont="1" applyBorder="1" applyAlignment="1">
      <alignment vertical="top" wrapText="1"/>
    </xf>
    <xf numFmtId="0" fontId="4" fillId="0" borderId="4" xfId="0" applyFont="1" applyBorder="1" applyAlignment="1">
      <alignment vertical="top" wrapText="1"/>
    </xf>
    <xf numFmtId="0" fontId="5" fillId="0" borderId="4" xfId="0" applyFont="1" applyBorder="1" applyAlignment="1">
      <alignment vertical="top" wrapText="1"/>
    </xf>
    <xf numFmtId="0" fontId="9" fillId="2" borderId="4" xfId="0" applyFont="1" applyFill="1" applyBorder="1" applyAlignment="1">
      <alignment vertical="top" wrapText="1"/>
    </xf>
    <xf numFmtId="0" fontId="5" fillId="3" borderId="4" xfId="0" applyFont="1" applyFill="1" applyBorder="1" applyAlignment="1">
      <alignment vertical="top" wrapText="1"/>
    </xf>
    <xf numFmtId="0" fontId="4" fillId="0" borderId="5" xfId="0" applyFont="1" applyBorder="1" applyAlignment="1">
      <alignment vertical="top" wrapText="1"/>
    </xf>
    <xf numFmtId="0" fontId="5" fillId="0" borderId="12" xfId="0" applyFont="1" applyBorder="1" applyAlignment="1">
      <alignment vertical="top" wrapText="1"/>
    </xf>
    <xf numFmtId="0" fontId="8" fillId="2" borderId="7" xfId="0" applyFont="1" applyFill="1" applyBorder="1"/>
    <xf numFmtId="0" fontId="8" fillId="2" borderId="15" xfId="0" applyFont="1" applyFill="1" applyBorder="1" applyAlignment="1">
      <alignment horizontal="center" vertical="center"/>
    </xf>
    <xf numFmtId="0" fontId="4" fillId="0" borderId="9" xfId="0" applyFont="1" applyBorder="1" applyAlignment="1">
      <alignment horizontal="center" vertical="top" wrapText="1"/>
    </xf>
    <xf numFmtId="0" fontId="4" fillId="0" borderId="14" xfId="0" applyFont="1" applyBorder="1" applyAlignment="1">
      <alignment horizontal="center" vertical="top" wrapText="1"/>
    </xf>
    <xf numFmtId="0" fontId="5" fillId="0" borderId="9" xfId="0" applyFont="1" applyBorder="1" applyAlignment="1">
      <alignment horizontal="center" vertical="top" wrapText="1"/>
    </xf>
    <xf numFmtId="0" fontId="5" fillId="0" borderId="10" xfId="0" applyFont="1" applyBorder="1" applyAlignment="1">
      <alignment horizontal="center" vertical="top" wrapText="1"/>
    </xf>
    <xf numFmtId="0" fontId="9" fillId="2" borderId="15" xfId="0" applyFont="1" applyFill="1" applyBorder="1" applyAlignment="1">
      <alignment vertical="top" wrapText="1"/>
    </xf>
    <xf numFmtId="0" fontId="5" fillId="3" borderId="9" xfId="0" applyFont="1" applyFill="1" applyBorder="1" applyAlignment="1">
      <alignment horizontal="center" vertical="top" wrapText="1"/>
    </xf>
    <xf numFmtId="0" fontId="11" fillId="0" borderId="0" xfId="0" applyFont="1"/>
    <xf numFmtId="49" fontId="6" fillId="0" borderId="4" xfId="0" applyNumberFormat="1" applyFont="1" applyFill="1" applyBorder="1" applyAlignment="1">
      <alignment horizontal="center" vertical="center" wrapText="1"/>
    </xf>
    <xf numFmtId="49" fontId="0" fillId="0" borderId="0" xfId="0" applyNumberFormat="1" applyAlignment="1">
      <alignment vertical="top" wrapText="1"/>
    </xf>
    <xf numFmtId="0" fontId="0" fillId="0" borderId="2" xfId="0" applyBorder="1" applyAlignment="1">
      <alignment horizontal="left" vertical="top"/>
    </xf>
    <xf numFmtId="9" fontId="2" fillId="0" borderId="0" xfId="1" applyFont="1" applyAlignment="1">
      <alignment horizontal="center" vertical="center"/>
    </xf>
    <xf numFmtId="0" fontId="5" fillId="0" borderId="0" xfId="0" applyFont="1" applyFill="1" applyBorder="1"/>
    <xf numFmtId="0" fontId="2" fillId="0" borderId="0" xfId="0" applyFont="1" applyFill="1" applyBorder="1"/>
    <xf numFmtId="0" fontId="0" fillId="4" borderId="0" xfId="0" applyFont="1" applyFill="1" applyBorder="1"/>
    <xf numFmtId="0" fontId="8" fillId="2" borderId="0" xfId="0" applyFont="1" applyFill="1" applyBorder="1"/>
    <xf numFmtId="49" fontId="6" fillId="0" borderId="0" xfId="0" applyNumberFormat="1" applyFont="1" applyFill="1" applyBorder="1" applyAlignment="1">
      <alignment horizontal="center" vertical="center" wrapText="1"/>
    </xf>
    <xf numFmtId="0" fontId="8" fillId="2" borderId="0" xfId="0" applyFont="1" applyFill="1" applyBorder="1" applyAlignment="1">
      <alignment horizontal="left"/>
    </xf>
    <xf numFmtId="0" fontId="8" fillId="2" borderId="2" xfId="0" applyFont="1" applyFill="1" applyBorder="1" applyAlignment="1">
      <alignment horizontal="left"/>
    </xf>
    <xf numFmtId="0" fontId="2" fillId="0" borderId="0" xfId="0" applyFont="1" applyFill="1" applyBorder="1" applyAlignment="1">
      <alignment horizontal="left"/>
    </xf>
    <xf numFmtId="0" fontId="0" fillId="4" borderId="0" xfId="0" applyFont="1" applyFill="1" applyBorder="1" applyAlignment="1">
      <alignment horizontal="left"/>
    </xf>
    <xf numFmtId="0" fontId="2" fillId="0" borderId="2" xfId="0" applyFont="1" applyFill="1" applyBorder="1" applyAlignment="1">
      <alignment horizontal="center" vertical="top"/>
    </xf>
    <xf numFmtId="0" fontId="0" fillId="4" borderId="2" xfId="0" applyFont="1" applyFill="1" applyBorder="1" applyAlignment="1">
      <alignment horizontal="center" vertical="top"/>
    </xf>
    <xf numFmtId="0" fontId="8" fillId="2" borderId="2" xfId="0" applyFont="1" applyFill="1" applyBorder="1" applyAlignment="1">
      <alignment horizontal="left" vertical="top"/>
    </xf>
    <xf numFmtId="0" fontId="5" fillId="3" borderId="2" xfId="0" applyFont="1" applyFill="1" applyBorder="1" applyAlignment="1">
      <alignment horizontal="left" vertical="top"/>
    </xf>
    <xf numFmtId="49" fontId="2" fillId="0" borderId="2" xfId="0" applyNumberFormat="1" applyFont="1" applyFill="1" applyBorder="1" applyAlignment="1">
      <alignment horizontal="left" vertical="top" wrapText="1"/>
    </xf>
    <xf numFmtId="49" fontId="2" fillId="0" borderId="2" xfId="0" applyNumberFormat="1" applyFont="1" applyBorder="1" applyAlignment="1">
      <alignment horizontal="left" vertical="top" wrapText="1"/>
    </xf>
    <xf numFmtId="0" fontId="4" fillId="0" borderId="2" xfId="0" applyFont="1" applyBorder="1" applyAlignment="1">
      <alignment horizontal="left" vertical="top"/>
    </xf>
    <xf numFmtId="0" fontId="8" fillId="2" borderId="4" xfId="0" applyFont="1" applyFill="1" applyBorder="1" applyAlignment="1">
      <alignment horizontal="left" vertical="top"/>
    </xf>
    <xf numFmtId="0" fontId="2" fillId="0" borderId="0" xfId="0" applyFont="1" applyFill="1" applyBorder="1" applyAlignment="1">
      <alignment horizontal="left" vertical="top"/>
    </xf>
    <xf numFmtId="0" fontId="0" fillId="4" borderId="0" xfId="0" applyFont="1" applyFill="1" applyBorder="1" applyAlignment="1">
      <alignment horizontal="left" vertical="top"/>
    </xf>
    <xf numFmtId="0" fontId="8" fillId="2" borderId="0" xfId="0" applyFont="1" applyFill="1" applyBorder="1" applyAlignment="1">
      <alignment horizontal="left" vertical="top"/>
    </xf>
    <xf numFmtId="0" fontId="5" fillId="3" borderId="0" xfId="0" applyFont="1" applyFill="1" applyBorder="1" applyAlignment="1">
      <alignment horizontal="left" vertical="top"/>
    </xf>
    <xf numFmtId="49" fontId="2" fillId="0" borderId="0" xfId="0" applyNumberFormat="1" applyFont="1" applyFill="1" applyBorder="1" applyAlignment="1">
      <alignment horizontal="left" vertical="top" wrapText="1"/>
    </xf>
    <xf numFmtId="49" fontId="2" fillId="0" borderId="0" xfId="0" applyNumberFormat="1" applyFont="1" applyBorder="1" applyAlignment="1">
      <alignment horizontal="left" vertical="top" wrapText="1"/>
    </xf>
    <xf numFmtId="0" fontId="4" fillId="0" borderId="0" xfId="0" applyFont="1" applyBorder="1" applyAlignment="1">
      <alignment horizontal="left" vertical="top"/>
    </xf>
    <xf numFmtId="0" fontId="2" fillId="3" borderId="0" xfId="0" applyFont="1" applyFill="1" applyBorder="1"/>
    <xf numFmtId="0" fontId="0" fillId="0" borderId="0" xfId="0" applyFill="1" applyBorder="1"/>
    <xf numFmtId="0" fontId="0" fillId="0" borderId="0" xfId="0" applyBorder="1"/>
    <xf numFmtId="0" fontId="0" fillId="0" borderId="0" xfId="0" applyBorder="1" applyAlignment="1">
      <alignment horizontal="left" vertical="top"/>
    </xf>
    <xf numFmtId="0" fontId="2" fillId="3" borderId="0" xfId="0" applyFont="1" applyFill="1" applyBorder="1" applyAlignment="1">
      <alignment horizontal="left"/>
    </xf>
    <xf numFmtId="0" fontId="2" fillId="3" borderId="2" xfId="0" applyFont="1" applyFill="1" applyBorder="1" applyAlignment="1">
      <alignment horizontal="left"/>
    </xf>
    <xf numFmtId="0" fontId="0" fillId="0" borderId="0" xfId="0" applyFill="1" applyBorder="1" applyAlignment="1">
      <alignment horizontal="left"/>
    </xf>
    <xf numFmtId="0" fontId="0" fillId="0" borderId="2" xfId="0" applyFill="1" applyBorder="1" applyAlignment="1">
      <alignment horizontal="left"/>
    </xf>
    <xf numFmtId="0" fontId="0" fillId="0" borderId="0" xfId="0" applyBorder="1" applyAlignment="1">
      <alignment horizontal="left"/>
    </xf>
    <xf numFmtId="0" fontId="0" fillId="0" borderId="2" xfId="0" applyBorder="1" applyAlignment="1">
      <alignment horizontal="left"/>
    </xf>
    <xf numFmtId="0" fontId="2" fillId="3" borderId="0" xfId="0" applyFont="1" applyFill="1" applyBorder="1" applyAlignment="1">
      <alignment horizontal="left" vertical="top"/>
    </xf>
    <xf numFmtId="0" fontId="2" fillId="3" borderId="2" xfId="0" applyFont="1" applyFill="1" applyBorder="1" applyAlignment="1">
      <alignment horizontal="left" vertical="top"/>
    </xf>
    <xf numFmtId="0" fontId="0" fillId="0" borderId="0" xfId="0" applyFill="1" applyBorder="1" applyAlignment="1">
      <alignment horizontal="left" vertical="top"/>
    </xf>
    <xf numFmtId="0" fontId="0" fillId="0" borderId="2" xfId="0" applyFill="1" applyBorder="1" applyAlignment="1">
      <alignment horizontal="left" vertical="top"/>
    </xf>
    <xf numFmtId="0" fontId="8" fillId="2" borderId="4" xfId="0" applyFont="1" applyFill="1" applyBorder="1" applyAlignment="1"/>
    <xf numFmtId="0" fontId="8" fillId="2" borderId="2" xfId="0" applyFont="1" applyFill="1" applyBorder="1" applyAlignment="1"/>
    <xf numFmtId="0" fontId="2" fillId="0" borderId="0" xfId="0" applyFont="1" applyFill="1" applyBorder="1" applyAlignment="1"/>
    <xf numFmtId="0" fontId="0" fillId="4" borderId="0" xfId="0" applyFont="1" applyFill="1" applyBorder="1" applyAlignment="1"/>
    <xf numFmtId="0" fontId="8" fillId="2" borderId="0" xfId="0" applyFont="1" applyFill="1" applyBorder="1" applyAlignment="1"/>
    <xf numFmtId="0" fontId="2" fillId="3" borderId="0" xfId="0" applyFont="1" applyFill="1" applyBorder="1" applyAlignment="1"/>
    <xf numFmtId="0" fontId="2" fillId="3" borderId="2" xfId="0" applyFont="1" applyFill="1" applyBorder="1" applyAlignment="1"/>
    <xf numFmtId="0" fontId="0" fillId="0" borderId="0" xfId="0" applyFill="1" applyBorder="1" applyAlignment="1"/>
    <xf numFmtId="0" fontId="0" fillId="0" borderId="2" xfId="0" applyFill="1" applyBorder="1" applyAlignment="1"/>
    <xf numFmtId="0" fontId="0" fillId="0" borderId="0" xfId="0" applyBorder="1" applyAlignment="1"/>
    <xf numFmtId="0" fontId="0" fillId="0" borderId="2" xfId="0" applyBorder="1" applyAlignment="1"/>
    <xf numFmtId="0" fontId="0" fillId="4" borderId="2" xfId="0" applyFont="1" applyFill="1" applyBorder="1" applyAlignment="1">
      <alignment horizontal="center" vertical="center"/>
    </xf>
    <xf numFmtId="0" fontId="8" fillId="2" borderId="0" xfId="0" applyFont="1" applyFill="1" applyBorder="1" applyAlignment="1">
      <alignment horizontal="left" vertical="top" wrapText="1"/>
    </xf>
    <xf numFmtId="0" fontId="8" fillId="2" borderId="2" xfId="0" applyFont="1" applyFill="1" applyBorder="1" applyAlignment="1">
      <alignment horizontal="left" vertical="top" wrapText="1"/>
    </xf>
    <xf numFmtId="0" fontId="0" fillId="0" borderId="0" xfId="0" applyAlignment="1">
      <alignment horizontal="right"/>
    </xf>
    <xf numFmtId="49" fontId="0" fillId="0" borderId="0" xfId="0" applyNumberFormat="1" applyAlignment="1">
      <alignment horizontal="left" vertical="center" wrapText="1"/>
    </xf>
    <xf numFmtId="0" fontId="4" fillId="0" borderId="4" xfId="0" applyFont="1" applyBorder="1" applyAlignment="1">
      <alignment horizontal="right" vertical="center"/>
    </xf>
    <xf numFmtId="0" fontId="4" fillId="0" borderId="0" xfId="0" applyFont="1" applyBorder="1" applyAlignment="1">
      <alignment horizontal="right" vertical="center"/>
    </xf>
    <xf numFmtId="0" fontId="4" fillId="0" borderId="0" xfId="0" applyFont="1" applyBorder="1" applyAlignment="1">
      <alignment horizontal="left" vertical="center"/>
    </xf>
    <xf numFmtId="0" fontId="4" fillId="0" borderId="2" xfId="0" applyFont="1" applyBorder="1" applyAlignment="1">
      <alignment horizontal="left" vertical="center"/>
    </xf>
    <xf numFmtId="0" fontId="0" fillId="0" borderId="0" xfId="0" applyAlignment="1">
      <alignment vertical="center"/>
    </xf>
    <xf numFmtId="49" fontId="0" fillId="0" borderId="0" xfId="0" applyNumberFormat="1" applyAlignment="1">
      <alignment vertical="center" wrapText="1"/>
    </xf>
    <xf numFmtId="0" fontId="4" fillId="0" borderId="0" xfId="0" applyFont="1" applyBorder="1" applyAlignment="1">
      <alignment vertical="center"/>
    </xf>
    <xf numFmtId="49" fontId="0" fillId="0" borderId="1" xfId="0" applyNumberFormat="1" applyBorder="1" applyAlignment="1">
      <alignment vertical="center" wrapText="1"/>
    </xf>
    <xf numFmtId="49" fontId="0" fillId="0" borderId="1" xfId="0" applyNumberFormat="1" applyBorder="1" applyAlignment="1">
      <alignment horizontal="left" vertical="center" wrapText="1"/>
    </xf>
    <xf numFmtId="0" fontId="4" fillId="0" borderId="5" xfId="0" applyFont="1" applyBorder="1" applyAlignment="1">
      <alignment horizontal="right" vertical="center"/>
    </xf>
    <xf numFmtId="0" fontId="4" fillId="0" borderId="1" xfId="0" applyFont="1" applyBorder="1" applyAlignment="1">
      <alignment horizontal="right" vertical="center"/>
    </xf>
    <xf numFmtId="0" fontId="4" fillId="0" borderId="1" xfId="0" applyFont="1" applyBorder="1" applyAlignment="1">
      <alignment vertical="center"/>
    </xf>
    <xf numFmtId="0" fontId="0" fillId="0" borderId="1" xfId="0" applyBorder="1" applyAlignment="1">
      <alignment vertical="center"/>
    </xf>
    <xf numFmtId="49" fontId="2" fillId="0" borderId="0" xfId="0" applyNumberFormat="1" applyFont="1" applyAlignment="1">
      <alignment horizontal="left" vertical="center" wrapText="1"/>
    </xf>
    <xf numFmtId="0" fontId="5" fillId="0" borderId="4" xfId="0" applyFont="1" applyBorder="1" applyAlignment="1">
      <alignment horizontal="right" vertical="center"/>
    </xf>
    <xf numFmtId="0" fontId="5" fillId="0" borderId="0" xfId="0" applyFont="1" applyBorder="1" applyAlignment="1">
      <alignment horizontal="right" vertical="center"/>
    </xf>
    <xf numFmtId="0" fontId="5" fillId="0" borderId="0" xfId="0" applyFont="1" applyBorder="1" applyAlignment="1">
      <alignment vertical="center"/>
    </xf>
    <xf numFmtId="0" fontId="2" fillId="0" borderId="0" xfId="0" applyFont="1" applyAlignment="1">
      <alignment vertical="center"/>
    </xf>
    <xf numFmtId="2" fontId="5" fillId="0" borderId="4" xfId="0" applyNumberFormat="1" applyFont="1" applyBorder="1" applyAlignment="1">
      <alignment vertical="center"/>
    </xf>
    <xf numFmtId="2" fontId="5" fillId="0" borderId="0" xfId="0" applyNumberFormat="1" applyFont="1" applyBorder="1" applyAlignment="1">
      <alignment vertical="center"/>
    </xf>
    <xf numFmtId="2" fontId="5" fillId="0" borderId="0" xfId="0" applyNumberFormat="1" applyFont="1" applyBorder="1" applyAlignment="1">
      <alignment horizontal="right" vertical="center"/>
    </xf>
    <xf numFmtId="0" fontId="12" fillId="0" borderId="0" xfId="0" applyFont="1"/>
    <xf numFmtId="49" fontId="0" fillId="0" borderId="0" xfId="0" applyNumberFormat="1"/>
    <xf numFmtId="0" fontId="2" fillId="0" borderId="0" xfId="0" applyFont="1" applyAlignment="1">
      <alignment horizontal="center"/>
    </xf>
    <xf numFmtId="0" fontId="4" fillId="0" borderId="4" xfId="0" applyFont="1" applyFill="1" applyBorder="1" applyAlignment="1">
      <alignment vertical="top" wrapText="1"/>
    </xf>
    <xf numFmtId="0" fontId="4" fillId="0" borderId="19" xfId="0" applyFont="1" applyBorder="1" applyAlignment="1">
      <alignment vertical="top" wrapText="1"/>
    </xf>
    <xf numFmtId="0" fontId="4" fillId="0" borderId="18" xfId="0" applyFont="1" applyBorder="1" applyAlignment="1">
      <alignment horizontal="center" vertical="top" wrapText="1"/>
    </xf>
    <xf numFmtId="0" fontId="4" fillId="0" borderId="20" xfId="0" applyFont="1" applyBorder="1" applyAlignment="1">
      <alignment vertical="top" wrapText="1"/>
    </xf>
    <xf numFmtId="0" fontId="4" fillId="0" borderId="22" xfId="0" applyFont="1" applyBorder="1" applyAlignment="1">
      <alignment vertical="top" wrapText="1"/>
    </xf>
    <xf numFmtId="0" fontId="4" fillId="0" borderId="21" xfId="0" applyFont="1" applyBorder="1" applyAlignment="1">
      <alignment horizontal="center" vertical="top" wrapText="1"/>
    </xf>
    <xf numFmtId="0" fontId="4" fillId="0" borderId="23" xfId="0" applyFont="1" applyBorder="1" applyAlignment="1">
      <alignment vertical="top" wrapText="1"/>
    </xf>
    <xf numFmtId="0" fontId="11" fillId="0" borderId="0" xfId="0" applyFont="1" applyAlignment="1">
      <alignment horizontal="center" vertical="center"/>
    </xf>
    <xf numFmtId="0" fontId="4" fillId="0" borderId="1" xfId="0" applyFont="1" applyBorder="1" applyAlignment="1">
      <alignment horizontal="left" vertical="center"/>
    </xf>
    <xf numFmtId="0" fontId="4" fillId="0" borderId="3" xfId="0" applyFont="1" applyBorder="1" applyAlignment="1">
      <alignment horizontal="left" vertical="center"/>
    </xf>
    <xf numFmtId="0" fontId="5" fillId="0" borderId="16" xfId="0" applyFont="1" applyBorder="1" applyAlignment="1">
      <alignment horizontal="left" vertical="center"/>
    </xf>
    <xf numFmtId="0" fontId="5" fillId="0" borderId="17" xfId="0" applyFont="1" applyBorder="1" applyAlignment="1">
      <alignment horizontal="left" vertical="center"/>
    </xf>
    <xf numFmtId="0" fontId="5" fillId="0" borderId="0" xfId="0" applyFont="1" applyBorder="1" applyAlignment="1">
      <alignment horizontal="left" vertical="center"/>
    </xf>
    <xf numFmtId="0" fontId="5" fillId="0" borderId="2" xfId="0" applyFont="1" applyBorder="1" applyAlignment="1">
      <alignment horizontal="left" vertical="center"/>
    </xf>
    <xf numFmtId="0" fontId="4" fillId="0" borderId="0" xfId="0" applyFont="1" applyBorder="1" applyAlignment="1">
      <alignment horizontal="left" vertical="center"/>
    </xf>
    <xf numFmtId="0" fontId="4" fillId="0" borderId="2" xfId="0" applyFont="1" applyBorder="1" applyAlignment="1">
      <alignment horizontal="left" vertical="center"/>
    </xf>
    <xf numFmtId="9" fontId="4" fillId="0" borderId="0" xfId="1" applyFont="1" applyBorder="1" applyAlignment="1">
      <alignment horizontal="left" vertical="center"/>
    </xf>
    <xf numFmtId="9" fontId="4" fillId="0" borderId="2" xfId="1" applyFont="1" applyBorder="1" applyAlignment="1">
      <alignment horizontal="left" vertical="center"/>
    </xf>
    <xf numFmtId="49" fontId="7" fillId="0" borderId="0" xfId="0" applyNumberFormat="1" applyFont="1" applyFill="1" applyBorder="1" applyAlignment="1">
      <alignment horizontal="left" vertical="top" wrapText="1"/>
    </xf>
    <xf numFmtId="49" fontId="7" fillId="0" borderId="2" xfId="0" applyNumberFormat="1" applyFont="1" applyFill="1" applyBorder="1" applyAlignment="1">
      <alignment horizontal="left" vertical="top" wrapText="1"/>
    </xf>
    <xf numFmtId="0" fontId="5" fillId="0" borderId="0" xfId="0" applyFont="1" applyBorder="1" applyAlignment="1">
      <alignment vertical="center"/>
    </xf>
    <xf numFmtId="0" fontId="5" fillId="0" borderId="2"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9" fontId="4" fillId="0" borderId="0" xfId="1" applyFont="1" applyBorder="1" applyAlignment="1">
      <alignment vertical="center"/>
    </xf>
    <xf numFmtId="9" fontId="4" fillId="0" borderId="2" xfId="1" applyFont="1" applyBorder="1" applyAlignment="1">
      <alignment vertical="center"/>
    </xf>
    <xf numFmtId="0" fontId="4" fillId="0" borderId="1" xfId="0" applyFont="1" applyBorder="1" applyAlignment="1">
      <alignment vertical="center"/>
    </xf>
    <xf numFmtId="0" fontId="4" fillId="0" borderId="3" xfId="0" applyFont="1" applyBorder="1" applyAlignment="1">
      <alignment vertical="center"/>
    </xf>
    <xf numFmtId="0" fontId="5" fillId="0" borderId="16" xfId="0" applyFont="1" applyBorder="1" applyAlignment="1">
      <alignment vertical="center"/>
    </xf>
    <xf numFmtId="0" fontId="5" fillId="0" borderId="17" xfId="0" applyFont="1" applyBorder="1" applyAlignment="1">
      <alignment vertical="center"/>
    </xf>
    <xf numFmtId="49" fontId="7" fillId="0" borderId="0" xfId="0" applyNumberFormat="1" applyFont="1" applyFill="1" applyBorder="1" applyAlignment="1">
      <alignment vertical="top" wrapText="1"/>
    </xf>
    <xf numFmtId="49" fontId="7" fillId="0" borderId="2" xfId="0" applyNumberFormat="1" applyFont="1" applyFill="1" applyBorder="1" applyAlignment="1">
      <alignment vertical="top" wrapText="1"/>
    </xf>
    <xf numFmtId="49" fontId="6" fillId="0" borderId="0" xfId="0" applyNumberFormat="1" applyFont="1" applyFill="1" applyBorder="1" applyAlignment="1">
      <alignment horizontal="left" vertical="top" wrapText="1"/>
    </xf>
    <xf numFmtId="49" fontId="6" fillId="0" borderId="2" xfId="0" applyNumberFormat="1" applyFont="1" applyFill="1" applyBorder="1" applyAlignment="1">
      <alignment horizontal="left" vertical="top" wrapText="1"/>
    </xf>
    <xf numFmtId="0" fontId="10" fillId="0" borderId="6" xfId="0" applyFont="1" applyBorder="1" applyAlignment="1">
      <alignment horizontal="center"/>
    </xf>
    <xf numFmtId="0" fontId="10" fillId="0" borderId="7" xfId="0" applyFont="1" applyBorder="1" applyAlignment="1">
      <alignment horizontal="center"/>
    </xf>
    <xf numFmtId="0" fontId="10" fillId="0" borderId="8" xfId="0" applyFont="1" applyBorder="1" applyAlignment="1">
      <alignment horizontal="center"/>
    </xf>
    <xf numFmtId="164" fontId="0" fillId="0" borderId="12" xfId="0" applyNumberFormat="1" applyBorder="1" applyAlignment="1">
      <alignment horizontal="center"/>
    </xf>
    <xf numFmtId="164" fontId="0" fillId="0" borderId="13" xfId="0" applyNumberFormat="1" applyBorder="1" applyAlignment="1">
      <alignment horizontal="center"/>
    </xf>
    <xf numFmtId="164" fontId="0" fillId="0" borderId="11" xfId="0" applyNumberFormat="1" applyBorder="1" applyAlignment="1">
      <alignment horizontal="center"/>
    </xf>
    <xf numFmtId="0" fontId="9" fillId="2" borderId="4" xfId="0" applyFont="1" applyFill="1" applyBorder="1" applyAlignment="1">
      <alignment vertical="top" wrapText="1"/>
    </xf>
    <xf numFmtId="0" fontId="9" fillId="2" borderId="2" xfId="0" applyFont="1" applyFill="1" applyBorder="1" applyAlignment="1">
      <alignment vertical="top" wrapText="1"/>
    </xf>
    <xf numFmtId="0" fontId="4" fillId="5" borderId="24" xfId="0" applyFont="1" applyFill="1" applyBorder="1" applyAlignment="1">
      <alignment horizontal="center" vertical="center"/>
    </xf>
    <xf numFmtId="0" fontId="4" fillId="5" borderId="24" xfId="0" applyFont="1" applyFill="1" applyBorder="1" applyAlignment="1">
      <alignment horizontal="left" vertical="top" wrapText="1" shrinkToFit="1"/>
    </xf>
    <xf numFmtId="0" fontId="4" fillId="5" borderId="24" xfId="0" applyFont="1" applyFill="1" applyBorder="1" applyAlignment="1">
      <alignment horizontal="left" vertical="top" wrapText="1"/>
    </xf>
    <xf numFmtId="0" fontId="0" fillId="5" borderId="24" xfId="0" applyFill="1" applyBorder="1" applyAlignment="1">
      <alignment horizontal="center" vertical="center"/>
    </xf>
    <xf numFmtId="0" fontId="0" fillId="0" borderId="24" xfId="0" applyFill="1" applyBorder="1" applyAlignment="1">
      <alignment horizontal="center" vertical="center"/>
    </xf>
    <xf numFmtId="0" fontId="4" fillId="0" borderId="24" xfId="0" applyFont="1" applyFill="1" applyBorder="1" applyAlignment="1">
      <alignment horizontal="center" vertical="center"/>
    </xf>
    <xf numFmtId="0" fontId="4" fillId="5" borderId="0" xfId="0" applyFont="1" applyFill="1" applyBorder="1" applyAlignment="1">
      <alignment horizontal="left" vertical="top"/>
    </xf>
    <xf numFmtId="0" fontId="4" fillId="5" borderId="2" xfId="0" applyFont="1" applyFill="1" applyBorder="1" applyAlignment="1">
      <alignment horizontal="left" vertical="top"/>
    </xf>
    <xf numFmtId="49" fontId="0" fillId="5" borderId="0" xfId="0" applyNumberFormat="1" applyFont="1" applyFill="1" applyAlignment="1">
      <alignment wrapText="1"/>
    </xf>
    <xf numFmtId="0" fontId="0" fillId="5" borderId="0" xfId="0" applyFont="1" applyFill="1"/>
    <xf numFmtId="0" fontId="0" fillId="5" borderId="24" xfId="0" applyFill="1" applyBorder="1" applyAlignment="1">
      <alignment vertical="top" wrapText="1"/>
    </xf>
    <xf numFmtId="0" fontId="0" fillId="5" borderId="24" xfId="0" applyFill="1" applyBorder="1" applyAlignment="1">
      <alignment horizontal="left" vertical="top" wrapText="1"/>
    </xf>
    <xf numFmtId="0" fontId="0" fillId="5" borderId="24" xfId="0" applyFill="1" applyBorder="1" applyAlignment="1">
      <alignment horizontal="left" wrapText="1"/>
    </xf>
    <xf numFmtId="0" fontId="0" fillId="5" borderId="24" xfId="0" applyFill="1" applyBorder="1"/>
    <xf numFmtId="0" fontId="0" fillId="5" borderId="24" xfId="0" applyFill="1" applyBorder="1" applyAlignment="1">
      <alignment horizontal="left" vertical="top"/>
    </xf>
    <xf numFmtId="0" fontId="0" fillId="5" borderId="24" xfId="0" applyFill="1" applyBorder="1" applyAlignment="1">
      <alignment horizontal="left"/>
    </xf>
    <xf numFmtId="0" fontId="0" fillId="5" borderId="0" xfId="0" applyFont="1" applyFill="1" applyBorder="1" applyAlignment="1"/>
    <xf numFmtId="0" fontId="0" fillId="5" borderId="2" xfId="0" applyFont="1" applyFill="1" applyBorder="1" applyAlignment="1"/>
    <xf numFmtId="0" fontId="0" fillId="5" borderId="0" xfId="0" applyFont="1" applyFill="1" applyBorder="1" applyAlignment="1">
      <alignment horizontal="left" vertical="top"/>
    </xf>
    <xf numFmtId="0" fontId="0" fillId="5" borderId="2" xfId="0" applyFont="1" applyFill="1" applyBorder="1" applyAlignment="1">
      <alignment horizontal="left" vertical="top"/>
    </xf>
    <xf numFmtId="0" fontId="0" fillId="5" borderId="0" xfId="0" applyFont="1" applyFill="1" applyBorder="1" applyAlignment="1">
      <alignment horizontal="left"/>
    </xf>
    <xf numFmtId="0" fontId="0" fillId="5" borderId="2" xfId="0" applyFont="1" applyFill="1" applyBorder="1" applyAlignment="1">
      <alignment horizontal="left"/>
    </xf>
    <xf numFmtId="0" fontId="0" fillId="5" borderId="4" xfId="0" applyFont="1" applyFill="1" applyBorder="1"/>
    <xf numFmtId="0" fontId="0" fillId="5" borderId="0" xfId="0" applyFont="1" applyFill="1" applyBorder="1" applyAlignment="1">
      <alignment horizontal="left" vertical="top"/>
    </xf>
    <xf numFmtId="0" fontId="0" fillId="5" borderId="2" xfId="0" applyFont="1" applyFill="1" applyBorder="1" applyAlignment="1">
      <alignment horizontal="center" vertical="top"/>
    </xf>
    <xf numFmtId="0" fontId="0" fillId="5" borderId="0" xfId="0" applyFont="1" applyFill="1" applyBorder="1" applyAlignment="1"/>
    <xf numFmtId="0" fontId="0" fillId="5" borderId="0" xfId="0" applyFont="1" applyFill="1" applyBorder="1"/>
    <xf numFmtId="0" fontId="0" fillId="5" borderId="0" xfId="0" applyFont="1" applyFill="1" applyBorder="1" applyAlignment="1">
      <alignment horizontal="left"/>
    </xf>
    <xf numFmtId="0" fontId="0" fillId="5" borderId="2" xfId="0" applyFont="1" applyFill="1" applyBorder="1" applyAlignment="1">
      <alignment horizontal="center" vertical="center"/>
    </xf>
  </cellXfs>
  <cellStyles count="2">
    <cellStyle name="Prozent" xfId="1" builtinId="5"/>
    <cellStyle name="Standard" xfId="0" builtinId="0"/>
  </cellStyles>
  <dxfs count="165">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color rgb="FF9C0006"/>
      </font>
      <fill>
        <patternFill>
          <bgColor rgb="FFFFC7CE"/>
        </patternFill>
      </fill>
    </dxf>
    <dxf>
      <font>
        <b val="0"/>
        <i val="0"/>
      </font>
    </dxf>
    <dxf>
      <font>
        <color rgb="FF006100"/>
      </font>
      <fill>
        <patternFill>
          <bgColor rgb="FFC6EFCE"/>
        </patternFill>
      </fill>
    </dxf>
    <dxf>
      <font>
        <color rgb="FF9C0006"/>
      </font>
      <fill>
        <patternFill>
          <bgColor rgb="FFFFC7CE"/>
        </patternFill>
      </fill>
    </dxf>
    <dxf>
      <font>
        <b val="0"/>
        <i val="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9C193-C25D-3C46-914F-A5C9B8843B40}">
  <sheetPr codeName="Tabelle1"/>
  <dimension ref="A8:A31"/>
  <sheetViews>
    <sheetView workbookViewId="0">
      <selection activeCell="A32" sqref="A32"/>
    </sheetView>
  </sheetViews>
  <sheetFormatPr baseColWidth="10" defaultRowHeight="16" x14ac:dyDescent="0.2"/>
  <cols>
    <col min="1" max="1" width="79.6640625" customWidth="1"/>
  </cols>
  <sheetData>
    <row r="8" spans="1:1" x14ac:dyDescent="0.2">
      <c r="A8" s="10" t="s">
        <v>44</v>
      </c>
    </row>
    <row r="9" spans="1:1" x14ac:dyDescent="0.2">
      <c r="A9" t="s">
        <v>45</v>
      </c>
    </row>
    <row r="10" spans="1:1" x14ac:dyDescent="0.2">
      <c r="A10" t="s">
        <v>43</v>
      </c>
    </row>
    <row r="11" spans="1:1" x14ac:dyDescent="0.2">
      <c r="A11" t="s">
        <v>46</v>
      </c>
    </row>
    <row r="12" spans="1:1" x14ac:dyDescent="0.2">
      <c r="A12" t="s">
        <v>47</v>
      </c>
    </row>
    <row r="13" spans="1:1" x14ac:dyDescent="0.2">
      <c r="A13" t="s">
        <v>48</v>
      </c>
    </row>
    <row r="14" spans="1:1" x14ac:dyDescent="0.2">
      <c r="A14" t="s">
        <v>49</v>
      </c>
    </row>
    <row r="15" spans="1:1" x14ac:dyDescent="0.2">
      <c r="A15" t="s">
        <v>56</v>
      </c>
    </row>
    <row r="23" spans="1:1" x14ac:dyDescent="0.2">
      <c r="A23" s="10" t="s">
        <v>88</v>
      </c>
    </row>
    <row r="24" spans="1:1" x14ac:dyDescent="0.2">
      <c r="A24" t="s">
        <v>89</v>
      </c>
    </row>
    <row r="25" spans="1:1" x14ac:dyDescent="0.2">
      <c r="A25" t="s">
        <v>90</v>
      </c>
    </row>
    <row r="26" spans="1:1" x14ac:dyDescent="0.2">
      <c r="A26" t="s">
        <v>93</v>
      </c>
    </row>
    <row r="27" spans="1:1" x14ac:dyDescent="0.2">
      <c r="A27" t="s">
        <v>99</v>
      </c>
    </row>
    <row r="28" spans="1:1" x14ac:dyDescent="0.2">
      <c r="A28" t="s">
        <v>149</v>
      </c>
    </row>
    <row r="30" spans="1:1" x14ac:dyDescent="0.2">
      <c r="A30" t="s">
        <v>283</v>
      </c>
    </row>
    <row r="31" spans="1:1" x14ac:dyDescent="0.2">
      <c r="A31" t="s">
        <v>284</v>
      </c>
    </row>
  </sheetData>
  <pageMargins left="0.7" right="0.7" top="0.78740157499999996" bottom="0.78740157499999996"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AFD33-7D4C-4C4F-8E98-AB0D091828C5}">
  <sheetPr codeName="Tabelle13" filterMode="1"/>
  <dimension ref="A1:F79"/>
  <sheetViews>
    <sheetView workbookViewId="0">
      <selection activeCell="F11" sqref="F11"/>
    </sheetView>
  </sheetViews>
  <sheetFormatPr baseColWidth="10" defaultRowHeight="16" x14ac:dyDescent="0.2"/>
  <cols>
    <col min="2" max="2" width="23.83203125" bestFit="1" customWidth="1"/>
    <col min="4" max="4" width="17.33203125" bestFit="1" customWidth="1"/>
    <col min="5" max="5" width="24.5" bestFit="1" customWidth="1"/>
    <col min="6" max="6" width="23.1640625" bestFit="1" customWidth="1"/>
  </cols>
  <sheetData>
    <row r="1" spans="1:6" x14ac:dyDescent="0.2">
      <c r="A1" s="10" t="s">
        <v>21</v>
      </c>
      <c r="B1" s="10" t="s">
        <v>15</v>
      </c>
      <c r="C1" s="10" t="s">
        <v>294</v>
      </c>
      <c r="D1" s="10" t="s">
        <v>19</v>
      </c>
      <c r="E1" s="10" t="s">
        <v>13</v>
      </c>
      <c r="F1" s="10" t="s">
        <v>318</v>
      </c>
    </row>
    <row r="2" spans="1:6" x14ac:dyDescent="0.2">
      <c r="A2">
        <f>Gesamt!D4</f>
        <v>30202465</v>
      </c>
      <c r="B2" t="str">
        <f>Gesamt!E4</f>
        <v>Anna Müller</v>
      </c>
      <c r="C2" t="b">
        <f>Gesamt!F4</f>
        <v>1</v>
      </c>
      <c r="D2" t="str">
        <f>Gesamt!E$2</f>
        <v>Statistics Gals</v>
      </c>
      <c r="E2" s="158" t="str">
        <f>Gesamt!$A$3</f>
        <v>Prof. Dr. Benjamin Buchwitz</v>
      </c>
      <c r="F2">
        <f>Gesamt!D$43*C2</f>
        <v>14</v>
      </c>
    </row>
    <row r="3" spans="1:6" x14ac:dyDescent="0.2">
      <c r="A3">
        <f>Gesamt!D5</f>
        <v>30199433</v>
      </c>
      <c r="B3" t="str">
        <f>Gesamt!E5</f>
        <v xml:space="preserve">Panchanok Asathai </v>
      </c>
      <c r="C3" t="b">
        <f>Gesamt!F5</f>
        <v>1</v>
      </c>
      <c r="D3" t="str">
        <f>Gesamt!E$2</f>
        <v>Statistics Gals</v>
      </c>
      <c r="E3" s="158" t="str">
        <f>Gesamt!$A$3</f>
        <v>Prof. Dr. Benjamin Buchwitz</v>
      </c>
      <c r="F3">
        <f>Gesamt!D$43*C3</f>
        <v>14</v>
      </c>
    </row>
    <row r="4" spans="1:6" x14ac:dyDescent="0.2">
      <c r="A4">
        <f>Gesamt!D6</f>
        <v>30189063</v>
      </c>
      <c r="B4" t="str">
        <f>Gesamt!E6</f>
        <v xml:space="preserve">Lina Sachs </v>
      </c>
      <c r="C4" t="b">
        <f>Gesamt!F6</f>
        <v>1</v>
      </c>
      <c r="D4" t="str">
        <f>Gesamt!E$2</f>
        <v>Statistics Gals</v>
      </c>
      <c r="E4" s="158" t="str">
        <f>Gesamt!$A$3</f>
        <v>Prof. Dr. Benjamin Buchwitz</v>
      </c>
      <c r="F4">
        <f>Gesamt!D$43*C4</f>
        <v>14</v>
      </c>
    </row>
    <row r="5" spans="1:6" x14ac:dyDescent="0.2">
      <c r="A5">
        <f>Gesamt!D7</f>
        <v>30198324</v>
      </c>
      <c r="B5" t="str">
        <f>Gesamt!E7</f>
        <v xml:space="preserve">Charlotte Hütter </v>
      </c>
      <c r="C5" t="b">
        <f>Gesamt!F7</f>
        <v>1</v>
      </c>
      <c r="D5" t="str">
        <f>Gesamt!E$2</f>
        <v>Statistics Gals</v>
      </c>
      <c r="E5" s="158" t="str">
        <f>Gesamt!$A$3</f>
        <v>Prof. Dr. Benjamin Buchwitz</v>
      </c>
      <c r="F5">
        <f>Gesamt!D$43*C5</f>
        <v>14</v>
      </c>
    </row>
    <row r="6" spans="1:6" x14ac:dyDescent="0.2">
      <c r="A6">
        <f>Gesamt!D8</f>
        <v>30192111</v>
      </c>
      <c r="B6" t="str">
        <f>Gesamt!E8</f>
        <v xml:space="preserve">Elisa Pott </v>
      </c>
      <c r="C6" t="b">
        <f>Gesamt!F8</f>
        <v>1</v>
      </c>
      <c r="D6" t="str">
        <f>Gesamt!E$2</f>
        <v>Statistics Gals</v>
      </c>
      <c r="E6" s="158" t="str">
        <f>Gesamt!$A$3</f>
        <v>Prof. Dr. Benjamin Buchwitz</v>
      </c>
      <c r="F6">
        <f>Gesamt!D$43*C6</f>
        <v>14</v>
      </c>
    </row>
    <row r="7" spans="1:6" hidden="1" x14ac:dyDescent="0.2">
      <c r="A7">
        <f>Gesamt!D9</f>
        <v>0</v>
      </c>
      <c r="B7">
        <f>Gesamt!E9</f>
        <v>0</v>
      </c>
      <c r="C7" t="str">
        <f>Gesamt!F9</f>
        <v xml:space="preserve"> </v>
      </c>
      <c r="D7" t="str">
        <f>Gesamt!E$2</f>
        <v>Statistics Gals</v>
      </c>
      <c r="E7" s="158" t="str">
        <f>Gesamt!$A$3</f>
        <v>Prof. Dr. Benjamin Buchwitz</v>
      </c>
      <c r="F7" t="e">
        <f>Gesamt!D$43*C7</f>
        <v>#VALUE!</v>
      </c>
    </row>
    <row r="8" spans="1:6" x14ac:dyDescent="0.2">
      <c r="A8">
        <f>Gesamt!G4</f>
        <v>30198775</v>
      </c>
      <c r="B8" t="str">
        <f>Gesamt!H4</f>
        <v xml:space="preserve">Diana Alexandra Gheorghe </v>
      </c>
      <c r="C8" t="b">
        <f>Gesamt!I4</f>
        <v>1</v>
      </c>
      <c r="D8" t="str">
        <f>Gesamt!H$2</f>
        <v>Statistik DASJ</v>
      </c>
      <c r="E8" s="158" t="str">
        <f>Gesamt!$A$3</f>
        <v>Prof. Dr. Benjamin Buchwitz</v>
      </c>
      <c r="F8">
        <f>Gesamt!G$43*C8</f>
        <v>7.5</v>
      </c>
    </row>
    <row r="9" spans="1:6" x14ac:dyDescent="0.2">
      <c r="A9">
        <f>Gesamt!G5</f>
        <v>30198379</v>
      </c>
      <c r="B9" t="str">
        <f>Gesamt!H5</f>
        <v xml:space="preserve">Julia Sophie Granderath </v>
      </c>
      <c r="C9" t="b">
        <f>Gesamt!I5</f>
        <v>1</v>
      </c>
      <c r="D9" t="str">
        <f>Gesamt!H$2</f>
        <v>Statistik DASJ</v>
      </c>
      <c r="E9" s="158" t="str">
        <f>Gesamt!$A$3</f>
        <v>Prof. Dr. Benjamin Buchwitz</v>
      </c>
      <c r="F9">
        <f>Gesamt!G$43*C9</f>
        <v>7.5</v>
      </c>
    </row>
    <row r="10" spans="1:6" x14ac:dyDescent="0.2">
      <c r="A10">
        <f>Gesamt!G6</f>
        <v>30198618</v>
      </c>
      <c r="B10" t="str">
        <f>Gesamt!H6</f>
        <v xml:space="preserve">Sandra Sophie Flemmig </v>
      </c>
      <c r="C10" t="b">
        <f>Gesamt!I6</f>
        <v>1</v>
      </c>
      <c r="D10" t="str">
        <f>Gesamt!H$2</f>
        <v>Statistik DASJ</v>
      </c>
      <c r="E10" s="158" t="str">
        <f>Gesamt!$A$3</f>
        <v>Prof. Dr. Benjamin Buchwitz</v>
      </c>
      <c r="F10">
        <f>Gesamt!G$43*C10</f>
        <v>7.5</v>
      </c>
    </row>
    <row r="11" spans="1:6" x14ac:dyDescent="0.2">
      <c r="A11">
        <f>Gesamt!G7</f>
        <v>30198720</v>
      </c>
      <c r="B11" t="str">
        <f>Gesamt!H7</f>
        <v xml:space="preserve">Amanda Marques Greve </v>
      </c>
      <c r="C11" t="b">
        <f>Gesamt!I7</f>
        <v>1</v>
      </c>
      <c r="D11" t="str">
        <f>Gesamt!H$2</f>
        <v>Statistik DASJ</v>
      </c>
      <c r="E11" s="158" t="str">
        <f>Gesamt!$A$3</f>
        <v>Prof. Dr. Benjamin Buchwitz</v>
      </c>
      <c r="F11">
        <f>Gesamt!G$43*C11</f>
        <v>7.5</v>
      </c>
    </row>
    <row r="12" spans="1:6" hidden="1" x14ac:dyDescent="0.2">
      <c r="A12">
        <f>Gesamt!G8</f>
        <v>0</v>
      </c>
      <c r="B12">
        <f>Gesamt!H8</f>
        <v>0</v>
      </c>
      <c r="C12" t="str">
        <f>Gesamt!I8</f>
        <v xml:space="preserve"> </v>
      </c>
      <c r="D12" t="str">
        <f>Gesamt!H$2</f>
        <v>Statistik DASJ</v>
      </c>
      <c r="E12" s="158" t="str">
        <f>Gesamt!$A$3</f>
        <v>Prof. Dr. Benjamin Buchwitz</v>
      </c>
      <c r="F12" t="e">
        <f>Gesamt!G$43*C12</f>
        <v>#VALUE!</v>
      </c>
    </row>
    <row r="13" spans="1:6" hidden="1" x14ac:dyDescent="0.2">
      <c r="A13">
        <f>Gesamt!G9</f>
        <v>0</v>
      </c>
      <c r="B13">
        <f>Gesamt!H9</f>
        <v>0</v>
      </c>
      <c r="C13" t="str">
        <f>Gesamt!I9</f>
        <v xml:space="preserve"> </v>
      </c>
      <c r="D13" t="str">
        <f>Gesamt!H$2</f>
        <v>Statistik DASJ</v>
      </c>
      <c r="E13" s="158" t="str">
        <f>Gesamt!$A$3</f>
        <v>Prof. Dr. Benjamin Buchwitz</v>
      </c>
      <c r="F13" t="e">
        <f>Gesamt!G$43*C13</f>
        <v>#VALUE!</v>
      </c>
    </row>
    <row r="14" spans="1:6" x14ac:dyDescent="0.2">
      <c r="A14">
        <f>Gesamt!J4</f>
        <v>30198395</v>
      </c>
      <c r="B14" t="str">
        <f>Gesamt!K4</f>
        <v xml:space="preserve">Florian Hickert </v>
      </c>
      <c r="C14" t="b">
        <f>Gesamt!L4</f>
        <v>1</v>
      </c>
      <c r="D14" t="str">
        <f>Gesamt!K$2</f>
        <v>Kreativität = 0</v>
      </c>
      <c r="E14" s="158" t="str">
        <f>Gesamt!$A$3</f>
        <v>Prof. Dr. Benjamin Buchwitz</v>
      </c>
      <c r="F14">
        <f>Gesamt!J$43*C14</f>
        <v>14.000000000000002</v>
      </c>
    </row>
    <row r="15" spans="1:6" x14ac:dyDescent="0.2">
      <c r="A15">
        <f>Gesamt!J5</f>
        <v>30176436</v>
      </c>
      <c r="B15" t="str">
        <f>Gesamt!K5</f>
        <v>Denis Krenz</v>
      </c>
      <c r="C15" t="b">
        <f>Gesamt!L5</f>
        <v>1</v>
      </c>
      <c r="D15" t="str">
        <f>Gesamt!K$2</f>
        <v>Kreativität = 0</v>
      </c>
      <c r="E15" s="158" t="str">
        <f>Gesamt!$A$3</f>
        <v>Prof. Dr. Benjamin Buchwitz</v>
      </c>
      <c r="F15">
        <f>Gesamt!J$43*C15</f>
        <v>14.000000000000002</v>
      </c>
    </row>
    <row r="16" spans="1:6" x14ac:dyDescent="0.2">
      <c r="A16">
        <f>Gesamt!J6</f>
        <v>30180945</v>
      </c>
      <c r="B16" t="str">
        <f>Gesamt!K6</f>
        <v xml:space="preserve">Luzia Lakämper </v>
      </c>
      <c r="C16" t="b">
        <f>Gesamt!L6</f>
        <v>1</v>
      </c>
      <c r="D16" t="str">
        <f>Gesamt!K$2</f>
        <v>Kreativität = 0</v>
      </c>
      <c r="E16" s="158" t="str">
        <f>Gesamt!$A$3</f>
        <v>Prof. Dr. Benjamin Buchwitz</v>
      </c>
      <c r="F16">
        <f>Gesamt!J$43*C16</f>
        <v>14.000000000000002</v>
      </c>
    </row>
    <row r="17" spans="1:6" x14ac:dyDescent="0.2">
      <c r="A17">
        <f>Gesamt!J7</f>
        <v>30197455</v>
      </c>
      <c r="B17" t="str">
        <f>Gesamt!K7</f>
        <v>Max Bogdanski</v>
      </c>
      <c r="C17" t="b">
        <f>Gesamt!L7</f>
        <v>1</v>
      </c>
      <c r="D17" t="str">
        <f>Gesamt!K$2</f>
        <v>Kreativität = 0</v>
      </c>
      <c r="E17" s="158" t="str">
        <f>Gesamt!$A$3</f>
        <v>Prof. Dr. Benjamin Buchwitz</v>
      </c>
      <c r="F17">
        <f>Gesamt!J$43*C17</f>
        <v>14.000000000000002</v>
      </c>
    </row>
    <row r="18" spans="1:6" x14ac:dyDescent="0.2">
      <c r="A18">
        <f>Gesamt!J8</f>
        <v>30109605</v>
      </c>
      <c r="B18" t="str">
        <f>Gesamt!K8</f>
        <v xml:space="preserve">Marta Wardenga </v>
      </c>
      <c r="C18" t="b">
        <f>Gesamt!L8</f>
        <v>1</v>
      </c>
      <c r="D18" t="str">
        <f>Gesamt!K$2</f>
        <v>Kreativität = 0</v>
      </c>
      <c r="E18" s="158" t="str">
        <f>Gesamt!$A$3</f>
        <v>Prof. Dr. Benjamin Buchwitz</v>
      </c>
      <c r="F18">
        <f>Gesamt!J$43*C18</f>
        <v>14.000000000000002</v>
      </c>
    </row>
    <row r="19" spans="1:6" x14ac:dyDescent="0.2">
      <c r="A19">
        <f>Gesamt!J9</f>
        <v>30198689</v>
      </c>
      <c r="B19" t="str">
        <f>Gesamt!K9</f>
        <v xml:space="preserve">Joshua Eusterbrock </v>
      </c>
      <c r="C19" t="b">
        <f>Gesamt!L9</f>
        <v>1</v>
      </c>
      <c r="D19" t="str">
        <f>Gesamt!K$2</f>
        <v>Kreativität = 0</v>
      </c>
      <c r="E19" s="158" t="str">
        <f>Gesamt!$A$3</f>
        <v>Prof. Dr. Benjamin Buchwitz</v>
      </c>
      <c r="F19">
        <f>Gesamt!J$43*C19</f>
        <v>14.000000000000002</v>
      </c>
    </row>
    <row r="20" spans="1:6" x14ac:dyDescent="0.2">
      <c r="A20">
        <f>Gesamt!M4</f>
        <v>30109030</v>
      </c>
      <c r="B20" t="str">
        <f>Gesamt!N4</f>
        <v>Gamze Semiz</v>
      </c>
      <c r="C20" t="b">
        <f>Gesamt!O4</f>
        <v>1</v>
      </c>
      <c r="D20" t="str">
        <f>Gesamt!N$2</f>
        <v>Teamtastik</v>
      </c>
      <c r="E20" s="158" t="str">
        <f>Gesamt!$A$3</f>
        <v>Prof. Dr. Benjamin Buchwitz</v>
      </c>
      <c r="F20">
        <f>Gesamt!M$43*C20</f>
        <v>1</v>
      </c>
    </row>
    <row r="21" spans="1:6" x14ac:dyDescent="0.2">
      <c r="A21">
        <f>Gesamt!M5</f>
        <v>30197369</v>
      </c>
      <c r="B21" t="str">
        <f>Gesamt!N5</f>
        <v>Aylin Colak</v>
      </c>
      <c r="C21" t="b">
        <f>Gesamt!O5</f>
        <v>0</v>
      </c>
      <c r="D21" t="str">
        <f>Gesamt!N$2</f>
        <v>Teamtastik</v>
      </c>
      <c r="E21" s="158" t="str">
        <f>Gesamt!$A$3</f>
        <v>Prof. Dr. Benjamin Buchwitz</v>
      </c>
      <c r="F21">
        <f>Gesamt!M$43*C21</f>
        <v>0</v>
      </c>
    </row>
    <row r="22" spans="1:6" x14ac:dyDescent="0.2">
      <c r="A22">
        <f>Gesamt!M6</f>
        <v>30178513</v>
      </c>
      <c r="B22" t="str">
        <f>Gesamt!N6</f>
        <v>Kader Degirmenci</v>
      </c>
      <c r="C22" t="b">
        <f>Gesamt!O6</f>
        <v>1</v>
      </c>
      <c r="D22" t="str">
        <f>Gesamt!N$2</f>
        <v>Teamtastik</v>
      </c>
      <c r="E22" s="158" t="str">
        <f>Gesamt!$A$3</f>
        <v>Prof. Dr. Benjamin Buchwitz</v>
      </c>
      <c r="F22">
        <f>Gesamt!M$43*C22</f>
        <v>1</v>
      </c>
    </row>
    <row r="23" spans="1:6" x14ac:dyDescent="0.2">
      <c r="A23">
        <f>Gesamt!M7</f>
        <v>30069729</v>
      </c>
      <c r="B23" t="str">
        <f>Gesamt!N7</f>
        <v>Layla Aisosa Enkhoe</v>
      </c>
      <c r="C23" t="b">
        <f>Gesamt!O7</f>
        <v>1</v>
      </c>
      <c r="D23" t="str">
        <f>Gesamt!N$2</f>
        <v>Teamtastik</v>
      </c>
      <c r="E23" s="158" t="str">
        <f>Gesamt!$A$3</f>
        <v>Prof. Dr. Benjamin Buchwitz</v>
      </c>
      <c r="F23">
        <f>Gesamt!M$43*C23</f>
        <v>1</v>
      </c>
    </row>
    <row r="24" spans="1:6" x14ac:dyDescent="0.2">
      <c r="A24">
        <f>Gesamt!M8</f>
        <v>10060667</v>
      </c>
      <c r="B24" t="str">
        <f>Gesamt!N8</f>
        <v>Angelina Kostuzenko</v>
      </c>
      <c r="C24" t="b">
        <f>Gesamt!O8</f>
        <v>0</v>
      </c>
      <c r="D24" t="str">
        <f>Gesamt!N$2</f>
        <v>Teamtastik</v>
      </c>
      <c r="E24" s="158" t="str">
        <f>Gesamt!$A$3</f>
        <v>Prof. Dr. Benjamin Buchwitz</v>
      </c>
      <c r="F24">
        <f>Gesamt!M$43*C24</f>
        <v>0</v>
      </c>
    </row>
    <row r="25" spans="1:6" x14ac:dyDescent="0.2">
      <c r="A25">
        <f>Gesamt!M9</f>
        <v>30196809</v>
      </c>
      <c r="B25" t="str">
        <f>Gesamt!N9</f>
        <v>Selim Durmaz</v>
      </c>
      <c r="C25" t="b">
        <f>Gesamt!O9</f>
        <v>0</v>
      </c>
      <c r="D25" t="str">
        <f>Gesamt!N$2</f>
        <v>Teamtastik</v>
      </c>
      <c r="E25" s="158" t="str">
        <f>Gesamt!$A$3</f>
        <v>Prof. Dr. Benjamin Buchwitz</v>
      </c>
      <c r="F25">
        <f>Gesamt!M$43*C25</f>
        <v>0</v>
      </c>
    </row>
    <row r="26" spans="1:6" x14ac:dyDescent="0.2">
      <c r="A26">
        <f>Gesamt!P4</f>
        <v>30203897</v>
      </c>
      <c r="B26" t="str">
        <f>Gesamt!Q4</f>
        <v>Helen Hammerschmidt</v>
      </c>
      <c r="C26" t="b">
        <f>Gesamt!R4</f>
        <v>1</v>
      </c>
      <c r="D26" s="157" t="str">
        <f>Gesamt!Q$2</f>
        <v>Die Datenanalytiker</v>
      </c>
      <c r="E26" s="158" t="str">
        <f>Gesamt!$A$3</f>
        <v>Prof. Dr. Benjamin Buchwitz</v>
      </c>
      <c r="F26">
        <f>Gesamt!P$43*C26</f>
        <v>3.5</v>
      </c>
    </row>
    <row r="27" spans="1:6" x14ac:dyDescent="0.2">
      <c r="A27">
        <f>Gesamt!P5</f>
        <v>30203235</v>
      </c>
      <c r="B27" t="str">
        <f>Gesamt!Q5</f>
        <v xml:space="preserve">Michelle Genci </v>
      </c>
      <c r="C27" t="b">
        <f>Gesamt!R5</f>
        <v>1</v>
      </c>
      <c r="D27" s="157" t="str">
        <f>Gesamt!Q$2</f>
        <v>Die Datenanalytiker</v>
      </c>
      <c r="E27" s="158" t="str">
        <f>Gesamt!$A$3</f>
        <v>Prof. Dr. Benjamin Buchwitz</v>
      </c>
      <c r="F27">
        <f>Gesamt!P$43*C27</f>
        <v>3.5</v>
      </c>
    </row>
    <row r="28" spans="1:6" x14ac:dyDescent="0.2">
      <c r="A28">
        <f>Gesamt!P6</f>
        <v>30196656</v>
      </c>
      <c r="B28" t="str">
        <f>Gesamt!Q6</f>
        <v xml:space="preserve">Mia Benirschke </v>
      </c>
      <c r="C28" t="b">
        <f>Gesamt!R6</f>
        <v>1</v>
      </c>
      <c r="D28" s="157" t="str">
        <f>Gesamt!Q$2</f>
        <v>Die Datenanalytiker</v>
      </c>
      <c r="E28" s="158" t="str">
        <f>Gesamt!$A$3</f>
        <v>Prof. Dr. Benjamin Buchwitz</v>
      </c>
      <c r="F28">
        <f>Gesamt!P$43*C28</f>
        <v>3.5</v>
      </c>
    </row>
    <row r="29" spans="1:6" x14ac:dyDescent="0.2">
      <c r="A29">
        <f>Gesamt!P7</f>
        <v>30102619</v>
      </c>
      <c r="B29" t="str">
        <f>Gesamt!Q7</f>
        <v xml:space="preserve">Alexander Gawritschkow </v>
      </c>
      <c r="C29" t="b">
        <f>Gesamt!R7</f>
        <v>1</v>
      </c>
      <c r="D29" s="157" t="str">
        <f>Gesamt!Q$2</f>
        <v>Die Datenanalytiker</v>
      </c>
      <c r="E29" s="158" t="str">
        <f>Gesamt!$A$3</f>
        <v>Prof. Dr. Benjamin Buchwitz</v>
      </c>
      <c r="F29">
        <f>Gesamt!P$43*C29</f>
        <v>3.5</v>
      </c>
    </row>
    <row r="30" spans="1:6" x14ac:dyDescent="0.2">
      <c r="A30">
        <f>Gesamt!P8</f>
        <v>30105553</v>
      </c>
      <c r="B30" t="str">
        <f>Gesamt!Q8</f>
        <v>Oguzhan Dagdelen</v>
      </c>
      <c r="C30" t="b">
        <f>Gesamt!R8</f>
        <v>0</v>
      </c>
      <c r="D30" s="157" t="str">
        <f>Gesamt!Q$2</f>
        <v>Die Datenanalytiker</v>
      </c>
      <c r="E30" s="158" t="str">
        <f>Gesamt!$A$3</f>
        <v>Prof. Dr. Benjamin Buchwitz</v>
      </c>
      <c r="F30">
        <f>Gesamt!P$43*C30</f>
        <v>0</v>
      </c>
    </row>
    <row r="31" spans="1:6" hidden="1" x14ac:dyDescent="0.2">
      <c r="A31">
        <f>Gesamt!P9</f>
        <v>0</v>
      </c>
      <c r="B31">
        <f>Gesamt!Q9</f>
        <v>0</v>
      </c>
      <c r="C31" t="str">
        <f>Gesamt!R9</f>
        <v xml:space="preserve"> </v>
      </c>
      <c r="D31" s="157" t="str">
        <f>Gesamt!Q$2</f>
        <v>Die Datenanalytiker</v>
      </c>
      <c r="E31" s="158" t="str">
        <f>Gesamt!$A$3</f>
        <v>Prof. Dr. Benjamin Buchwitz</v>
      </c>
      <c r="F31" t="e">
        <f>Gesamt!P$43*C31</f>
        <v>#VALUE!</v>
      </c>
    </row>
    <row r="32" spans="1:6" x14ac:dyDescent="0.2">
      <c r="A32">
        <f>Gesamt!S4</f>
        <v>30174627</v>
      </c>
      <c r="B32" t="str">
        <f>Gesamt!T4</f>
        <v>Henry Wagener</v>
      </c>
      <c r="C32" t="b">
        <f>Gesamt!U4</f>
        <v>1</v>
      </c>
      <c r="D32" t="str">
        <f>Gesamt!T$2</f>
        <v>Die Schalker</v>
      </c>
      <c r="E32" s="158" t="str">
        <f>Gesamt!$A$3</f>
        <v>Prof. Dr. Benjamin Buchwitz</v>
      </c>
      <c r="F32">
        <f>Gesamt!S$43*C32</f>
        <v>18.5</v>
      </c>
    </row>
    <row r="33" spans="1:6" x14ac:dyDescent="0.2">
      <c r="A33">
        <f>Gesamt!S5</f>
        <v>30103714</v>
      </c>
      <c r="B33" t="str">
        <f>Gesamt!T5</f>
        <v>Gerit Klenk</v>
      </c>
      <c r="C33" t="b">
        <f>Gesamt!U5</f>
        <v>1</v>
      </c>
      <c r="D33" t="str">
        <f>Gesamt!T$2</f>
        <v>Die Schalker</v>
      </c>
      <c r="E33" s="158" t="str">
        <f>Gesamt!$A$3</f>
        <v>Prof. Dr. Benjamin Buchwitz</v>
      </c>
      <c r="F33">
        <f>Gesamt!S$43*C33</f>
        <v>18.5</v>
      </c>
    </row>
    <row r="34" spans="1:6" x14ac:dyDescent="0.2">
      <c r="A34">
        <f>Gesamt!S6</f>
        <v>30098015</v>
      </c>
      <c r="B34" t="str">
        <f>Gesamt!T6</f>
        <v xml:space="preserve">Leon Muth-Köhne </v>
      </c>
      <c r="C34" t="b">
        <f>Gesamt!U6</f>
        <v>1</v>
      </c>
      <c r="D34" t="str">
        <f>Gesamt!T$2</f>
        <v>Die Schalker</v>
      </c>
      <c r="E34" s="158" t="str">
        <f>Gesamt!$A$3</f>
        <v>Prof. Dr. Benjamin Buchwitz</v>
      </c>
      <c r="F34">
        <f>Gesamt!S$43*C34</f>
        <v>18.5</v>
      </c>
    </row>
    <row r="35" spans="1:6" x14ac:dyDescent="0.2">
      <c r="A35">
        <f>Gesamt!S7</f>
        <v>30169249</v>
      </c>
      <c r="B35" t="str">
        <f>Gesamt!T7</f>
        <v>Florian Sam Kerstholt</v>
      </c>
      <c r="C35" t="b">
        <f>Gesamt!U7</f>
        <v>1</v>
      </c>
      <c r="D35" t="str">
        <f>Gesamt!T$2</f>
        <v>Die Schalker</v>
      </c>
      <c r="E35" s="158" t="str">
        <f>Gesamt!$A$3</f>
        <v>Prof. Dr. Benjamin Buchwitz</v>
      </c>
      <c r="F35">
        <f>Gesamt!S$43*C35</f>
        <v>18.5</v>
      </c>
    </row>
    <row r="36" spans="1:6" hidden="1" x14ac:dyDescent="0.2">
      <c r="A36">
        <f>Gesamt!S8</f>
        <v>0</v>
      </c>
      <c r="B36">
        <f>Gesamt!T8</f>
        <v>0</v>
      </c>
      <c r="C36" t="str">
        <f>Gesamt!U8</f>
        <v xml:space="preserve"> </v>
      </c>
      <c r="D36" t="str">
        <f>Gesamt!T$2</f>
        <v>Die Schalker</v>
      </c>
      <c r="E36" s="158" t="str">
        <f>Gesamt!$A$3</f>
        <v>Prof. Dr. Benjamin Buchwitz</v>
      </c>
      <c r="F36" t="e">
        <f>Gesamt!S$43*C36</f>
        <v>#VALUE!</v>
      </c>
    </row>
    <row r="37" spans="1:6" hidden="1" x14ac:dyDescent="0.2">
      <c r="A37">
        <f>Gesamt!S9</f>
        <v>0</v>
      </c>
      <c r="B37">
        <f>Gesamt!T9</f>
        <v>0</v>
      </c>
      <c r="C37" t="str">
        <f>Gesamt!U9</f>
        <v xml:space="preserve"> </v>
      </c>
      <c r="D37" t="str">
        <f>Gesamt!T$2</f>
        <v>Die Schalker</v>
      </c>
      <c r="E37" s="158" t="str">
        <f>Gesamt!$A$3</f>
        <v>Prof. Dr. Benjamin Buchwitz</v>
      </c>
      <c r="F37" t="e">
        <f>Gesamt!S$43*C37</f>
        <v>#VALUE!</v>
      </c>
    </row>
    <row r="38" spans="1:6" x14ac:dyDescent="0.2">
      <c r="A38">
        <f>Gesamt!V4</f>
        <v>30196797</v>
      </c>
      <c r="B38" t="str">
        <f>Gesamt!W4</f>
        <v>Julia Loobes</v>
      </c>
      <c r="C38" t="b">
        <f>Gesamt!X4</f>
        <v>1</v>
      </c>
      <c r="D38" t="str">
        <f>Gesamt!W$2</f>
        <v>JAMT</v>
      </c>
      <c r="E38" s="158" t="str">
        <f>Gesamt!$A$3</f>
        <v>Prof. Dr. Benjamin Buchwitz</v>
      </c>
      <c r="F38">
        <f>Gesamt!V$43*C38</f>
        <v>8.5</v>
      </c>
    </row>
    <row r="39" spans="1:6" x14ac:dyDescent="0.2">
      <c r="A39">
        <f>Gesamt!V5</f>
        <v>30191721</v>
      </c>
      <c r="B39" t="str">
        <f>Gesamt!W5</f>
        <v>Mara Jonalik</v>
      </c>
      <c r="C39" t="b">
        <f>Gesamt!X5</f>
        <v>1</v>
      </c>
      <c r="D39" t="str">
        <f>Gesamt!W$2</f>
        <v>JAMT</v>
      </c>
      <c r="E39" s="158" t="str">
        <f>Gesamt!$A$3</f>
        <v>Prof. Dr. Benjamin Buchwitz</v>
      </c>
      <c r="F39">
        <f>Gesamt!V$43*C39</f>
        <v>8.5</v>
      </c>
    </row>
    <row r="40" spans="1:6" x14ac:dyDescent="0.2">
      <c r="A40">
        <f>Gesamt!V6</f>
        <v>30197330</v>
      </c>
      <c r="B40" t="str">
        <f>Gesamt!W6</f>
        <v>Tina Kebernik</v>
      </c>
      <c r="C40" t="b">
        <f>Gesamt!X6</f>
        <v>1</v>
      </c>
      <c r="D40" t="str">
        <f>Gesamt!W$2</f>
        <v>JAMT</v>
      </c>
      <c r="E40" s="158" t="str">
        <f>Gesamt!$A$3</f>
        <v>Prof. Dr. Benjamin Buchwitz</v>
      </c>
      <c r="F40">
        <f>Gesamt!V$43*C40</f>
        <v>8.5</v>
      </c>
    </row>
    <row r="41" spans="1:6" x14ac:dyDescent="0.2">
      <c r="A41">
        <f>Gesamt!V7</f>
        <v>301919291</v>
      </c>
      <c r="B41" t="str">
        <f>Gesamt!W7</f>
        <v>Amela Kurbardovic</v>
      </c>
      <c r="C41" t="b">
        <f>Gesamt!X7</f>
        <v>1</v>
      </c>
      <c r="D41" t="str">
        <f>Gesamt!W$2</f>
        <v>JAMT</v>
      </c>
      <c r="E41" s="158" t="str">
        <f>Gesamt!$A$3</f>
        <v>Prof. Dr. Benjamin Buchwitz</v>
      </c>
      <c r="F41">
        <f>Gesamt!V$43*C41</f>
        <v>8.5</v>
      </c>
    </row>
    <row r="42" spans="1:6" x14ac:dyDescent="0.2">
      <c r="A42">
        <f>Gesamt!V8</f>
        <v>10054346</v>
      </c>
      <c r="B42" t="str">
        <f>Gesamt!W8</f>
        <v>Viktoria Littich</v>
      </c>
      <c r="C42" t="b">
        <f>Gesamt!X8</f>
        <v>1</v>
      </c>
      <c r="D42" t="str">
        <f>Gesamt!W$2</f>
        <v>JAMT</v>
      </c>
      <c r="E42" s="158" t="str">
        <f>Gesamt!$A$3</f>
        <v>Prof. Dr. Benjamin Buchwitz</v>
      </c>
      <c r="F42">
        <f>Gesamt!V$43*C42</f>
        <v>8.5</v>
      </c>
    </row>
    <row r="43" spans="1:6" hidden="1" x14ac:dyDescent="0.2">
      <c r="A43">
        <f>Gesamt!V9</f>
        <v>0</v>
      </c>
      <c r="B43">
        <f>Gesamt!W9</f>
        <v>0</v>
      </c>
      <c r="C43" t="str">
        <f>Gesamt!X9</f>
        <v xml:space="preserve"> </v>
      </c>
      <c r="D43" t="str">
        <f>Gesamt!W$2</f>
        <v>JAMT</v>
      </c>
      <c r="E43" s="158" t="str">
        <f>Gesamt!$A$3</f>
        <v>Prof. Dr. Benjamin Buchwitz</v>
      </c>
      <c r="F43" t="e">
        <f>Gesamt!V$43*C43</f>
        <v>#VALUE!</v>
      </c>
    </row>
    <row r="44" spans="1:6" x14ac:dyDescent="0.2">
      <c r="A44">
        <f>Gesamt!Y4</f>
        <v>30180510</v>
      </c>
      <c r="B44" t="str">
        <f>Gesamt!Z4</f>
        <v xml:space="preserve">Lisa Marie Meister </v>
      </c>
      <c r="C44" t="b">
        <f>Gesamt!AA4</f>
        <v>1</v>
      </c>
      <c r="D44" t="str">
        <f>Gesamt!Z$2</f>
        <v>Crystal Math</v>
      </c>
      <c r="E44" s="158" t="str">
        <f>Gesamt!$A$3</f>
        <v>Prof. Dr. Benjamin Buchwitz</v>
      </c>
      <c r="F44">
        <f>Gesamt!Y$43*C44</f>
        <v>9</v>
      </c>
    </row>
    <row r="45" spans="1:6" x14ac:dyDescent="0.2">
      <c r="A45">
        <f>Gesamt!Y5</f>
        <v>10055546</v>
      </c>
      <c r="B45" t="str">
        <f>Gesamt!Z5</f>
        <v xml:space="preserve">Yvonne Katzmarski </v>
      </c>
      <c r="C45" t="b">
        <f>Gesamt!AA5</f>
        <v>1</v>
      </c>
      <c r="D45" t="str">
        <f>Gesamt!Z$2</f>
        <v>Crystal Math</v>
      </c>
      <c r="E45" s="158" t="str">
        <f>Gesamt!$A$3</f>
        <v>Prof. Dr. Benjamin Buchwitz</v>
      </c>
      <c r="F45">
        <f>Gesamt!Y$43*C45</f>
        <v>9</v>
      </c>
    </row>
    <row r="46" spans="1:6" x14ac:dyDescent="0.2">
      <c r="A46">
        <f>Gesamt!Y6</f>
        <v>30068652</v>
      </c>
      <c r="B46" t="str">
        <f>Gesamt!Z6</f>
        <v>Seval Öz</v>
      </c>
      <c r="C46" t="b">
        <f>Gesamt!AA6</f>
        <v>0</v>
      </c>
      <c r="D46" t="str">
        <f>Gesamt!Z$2</f>
        <v>Crystal Math</v>
      </c>
      <c r="E46" s="158" t="str">
        <f>Gesamt!$A$3</f>
        <v>Prof. Dr. Benjamin Buchwitz</v>
      </c>
      <c r="F46">
        <f>Gesamt!Y$43*C46</f>
        <v>0</v>
      </c>
    </row>
    <row r="47" spans="1:6" x14ac:dyDescent="0.2">
      <c r="A47">
        <f>Gesamt!Y7</f>
        <v>10059161</v>
      </c>
      <c r="B47" t="str">
        <f>Gesamt!Z7</f>
        <v>Cetin Kurt</v>
      </c>
      <c r="C47" t="b">
        <f>Gesamt!AA7</f>
        <v>0</v>
      </c>
      <c r="D47" t="str">
        <f>Gesamt!Z$2</f>
        <v>Crystal Math</v>
      </c>
      <c r="E47" s="158" t="str">
        <f>Gesamt!$A$3</f>
        <v>Prof. Dr. Benjamin Buchwitz</v>
      </c>
      <c r="F47">
        <f>Gesamt!Y$43*C47</f>
        <v>0</v>
      </c>
    </row>
    <row r="48" spans="1:6" x14ac:dyDescent="0.2">
      <c r="A48">
        <f>Gesamt!Y8</f>
        <v>30196979</v>
      </c>
      <c r="B48" t="str">
        <f>Gesamt!Z8</f>
        <v>Firuzan Banaz</v>
      </c>
      <c r="C48" t="b">
        <f>Gesamt!AA8</f>
        <v>0</v>
      </c>
      <c r="D48" t="str">
        <f>Gesamt!Z$2</f>
        <v>Crystal Math</v>
      </c>
      <c r="E48" s="158" t="str">
        <f>Gesamt!$A$3</f>
        <v>Prof. Dr. Benjamin Buchwitz</v>
      </c>
      <c r="F48">
        <f>Gesamt!Y$43*C48</f>
        <v>0</v>
      </c>
    </row>
    <row r="49" spans="1:6" x14ac:dyDescent="0.2">
      <c r="A49">
        <f>Gesamt!Y9</f>
        <v>30197976</v>
      </c>
      <c r="B49" t="str">
        <f>Gesamt!Z9</f>
        <v>Sarah Mensing</v>
      </c>
      <c r="C49" t="b">
        <f>Gesamt!AA9</f>
        <v>0</v>
      </c>
      <c r="D49" t="str">
        <f>Gesamt!Z$2</f>
        <v>Crystal Math</v>
      </c>
      <c r="E49" s="158" t="str">
        <f>Gesamt!$A$3</f>
        <v>Prof. Dr. Benjamin Buchwitz</v>
      </c>
      <c r="F49">
        <f>Gesamt!Y$43*C49</f>
        <v>0</v>
      </c>
    </row>
    <row r="50" spans="1:6" x14ac:dyDescent="0.2">
      <c r="A50">
        <f>Gesamt!AB4</f>
        <v>30184295</v>
      </c>
      <c r="B50" t="str">
        <f>Gesamt!AC4</f>
        <v xml:space="preserve">Tobias Förster </v>
      </c>
      <c r="C50" t="b">
        <f>Gesamt!AD4</f>
        <v>1</v>
      </c>
      <c r="D50" t="str">
        <f>Gesamt!AC$2</f>
        <v>Mineralwasser 3</v>
      </c>
      <c r="E50" s="158" t="str">
        <f>Gesamt!$A$3</f>
        <v>Prof. Dr. Benjamin Buchwitz</v>
      </c>
      <c r="F50">
        <f>Gesamt!AB$43*C50</f>
        <v>19</v>
      </c>
    </row>
    <row r="51" spans="1:6" x14ac:dyDescent="0.2">
      <c r="A51">
        <f>Gesamt!AB5</f>
        <v>30157495</v>
      </c>
      <c r="B51" t="str">
        <f>Gesamt!AC5</f>
        <v xml:space="preserve">Tim Gillner </v>
      </c>
      <c r="C51" t="b">
        <f>Gesamt!AD5</f>
        <v>1</v>
      </c>
      <c r="D51" t="str">
        <f>Gesamt!AC$2</f>
        <v>Mineralwasser 3</v>
      </c>
      <c r="E51" s="158" t="str">
        <f>Gesamt!$A$3</f>
        <v>Prof. Dr. Benjamin Buchwitz</v>
      </c>
      <c r="F51">
        <f>Gesamt!AB$43*C51</f>
        <v>19</v>
      </c>
    </row>
    <row r="52" spans="1:6" x14ac:dyDescent="0.2">
      <c r="A52">
        <f>Gesamt!AB6</f>
        <v>10056280</v>
      </c>
      <c r="B52" t="str">
        <f>Gesamt!AC6</f>
        <v xml:space="preserve">Carolin Wilde </v>
      </c>
      <c r="C52" t="b">
        <f>Gesamt!AD6</f>
        <v>1</v>
      </c>
      <c r="D52" t="str">
        <f>Gesamt!AC$2</f>
        <v>Mineralwasser 3</v>
      </c>
      <c r="E52" s="158" t="str">
        <f>Gesamt!$A$3</f>
        <v>Prof. Dr. Benjamin Buchwitz</v>
      </c>
      <c r="F52">
        <f>Gesamt!AB$43*C52</f>
        <v>19</v>
      </c>
    </row>
    <row r="53" spans="1:6" x14ac:dyDescent="0.2">
      <c r="A53">
        <f>Gesamt!AB7</f>
        <v>30117662</v>
      </c>
      <c r="B53" t="str">
        <f>Gesamt!AC7</f>
        <v>Michelle Sonntag</v>
      </c>
      <c r="C53" t="b">
        <f>Gesamt!AD7</f>
        <v>1</v>
      </c>
      <c r="D53" t="str">
        <f>Gesamt!AC$2</f>
        <v>Mineralwasser 3</v>
      </c>
      <c r="E53" s="158" t="str">
        <f>Gesamt!$A$3</f>
        <v>Prof. Dr. Benjamin Buchwitz</v>
      </c>
      <c r="F53">
        <f>Gesamt!AB$43*C53</f>
        <v>19</v>
      </c>
    </row>
    <row r="54" spans="1:6" x14ac:dyDescent="0.2">
      <c r="A54">
        <f>Gesamt!AB8</f>
        <v>30080553</v>
      </c>
      <c r="B54" t="str">
        <f>Gesamt!AC8</f>
        <v xml:space="preserve">Kevin Verhülsdonk </v>
      </c>
      <c r="C54" t="b">
        <f>Gesamt!AD8</f>
        <v>1</v>
      </c>
      <c r="D54" t="str">
        <f>Gesamt!AC$2</f>
        <v>Mineralwasser 3</v>
      </c>
      <c r="E54" s="158" t="str">
        <f>Gesamt!$A$3</f>
        <v>Prof. Dr. Benjamin Buchwitz</v>
      </c>
      <c r="F54">
        <f>Gesamt!AB$43*C54</f>
        <v>19</v>
      </c>
    </row>
    <row r="55" spans="1:6" hidden="1" x14ac:dyDescent="0.2">
      <c r="A55">
        <f>Gesamt!AB9</f>
        <v>0</v>
      </c>
      <c r="B55">
        <f>Gesamt!AC9</f>
        <v>0</v>
      </c>
      <c r="C55" t="str">
        <f>Gesamt!AD9</f>
        <v xml:space="preserve"> </v>
      </c>
      <c r="D55" t="str">
        <f>Gesamt!AC$2</f>
        <v>Mineralwasser 3</v>
      </c>
      <c r="E55" s="158" t="str">
        <f>Gesamt!$A$3</f>
        <v>Prof. Dr. Benjamin Buchwitz</v>
      </c>
      <c r="F55" t="e">
        <f>Gesamt!AB$43*C55</f>
        <v>#VALUE!</v>
      </c>
    </row>
    <row r="56" spans="1:6" hidden="1" x14ac:dyDescent="0.2">
      <c r="A56">
        <f>Gesamt!AE4</f>
        <v>0</v>
      </c>
      <c r="B56">
        <f>Gesamt!AF4</f>
        <v>0</v>
      </c>
      <c r="C56" t="str">
        <f>Gesamt!AG4</f>
        <v xml:space="preserve"> </v>
      </c>
      <c r="D56">
        <f>Gesamt!AF$2</f>
        <v>0</v>
      </c>
      <c r="E56" s="158" t="str">
        <f>Gesamt!$A$3</f>
        <v>Prof. Dr. Benjamin Buchwitz</v>
      </c>
      <c r="F56" t="e">
        <f>Gesamt!AE$43*C56</f>
        <v>#VALUE!</v>
      </c>
    </row>
    <row r="57" spans="1:6" hidden="1" x14ac:dyDescent="0.2">
      <c r="A57">
        <f>Gesamt!AE5</f>
        <v>0</v>
      </c>
      <c r="B57">
        <f>Gesamt!AF5</f>
        <v>0</v>
      </c>
      <c r="C57" t="str">
        <f>Gesamt!AG5</f>
        <v xml:space="preserve"> </v>
      </c>
      <c r="D57">
        <f>Gesamt!AF$2</f>
        <v>0</v>
      </c>
      <c r="E57" s="158" t="str">
        <f>Gesamt!$A$3</f>
        <v>Prof. Dr. Benjamin Buchwitz</v>
      </c>
      <c r="F57" t="e">
        <f>Gesamt!AE$43*C57</f>
        <v>#VALUE!</v>
      </c>
    </row>
    <row r="58" spans="1:6" hidden="1" x14ac:dyDescent="0.2">
      <c r="A58">
        <f>Gesamt!AE6</f>
        <v>0</v>
      </c>
      <c r="B58">
        <f>Gesamt!AF6</f>
        <v>0</v>
      </c>
      <c r="C58" t="str">
        <f>Gesamt!AG6</f>
        <v xml:space="preserve"> </v>
      </c>
      <c r="D58">
        <f>Gesamt!AF$2</f>
        <v>0</v>
      </c>
      <c r="E58" s="158" t="str">
        <f>Gesamt!$A$3</f>
        <v>Prof. Dr. Benjamin Buchwitz</v>
      </c>
      <c r="F58" t="e">
        <f>Gesamt!AE$43*C58</f>
        <v>#VALUE!</v>
      </c>
    </row>
    <row r="59" spans="1:6" hidden="1" x14ac:dyDescent="0.2">
      <c r="A59">
        <f>Gesamt!AE7</f>
        <v>0</v>
      </c>
      <c r="B59">
        <f>Gesamt!AF7</f>
        <v>0</v>
      </c>
      <c r="C59" t="str">
        <f>Gesamt!AG7</f>
        <v xml:space="preserve"> </v>
      </c>
      <c r="D59">
        <f>Gesamt!AF$2</f>
        <v>0</v>
      </c>
      <c r="E59" s="158" t="str">
        <f>Gesamt!$A$3</f>
        <v>Prof. Dr. Benjamin Buchwitz</v>
      </c>
      <c r="F59" t="e">
        <f>Gesamt!AE$43*C59</f>
        <v>#VALUE!</v>
      </c>
    </row>
    <row r="60" spans="1:6" hidden="1" x14ac:dyDescent="0.2">
      <c r="A60">
        <f>Gesamt!AE8</f>
        <v>0</v>
      </c>
      <c r="B60">
        <f>Gesamt!AF8</f>
        <v>0</v>
      </c>
      <c r="C60" t="str">
        <f>Gesamt!AG8</f>
        <v xml:space="preserve"> </v>
      </c>
      <c r="D60">
        <f>Gesamt!AF$2</f>
        <v>0</v>
      </c>
      <c r="E60" s="158" t="str">
        <f>Gesamt!$A$3</f>
        <v>Prof. Dr. Benjamin Buchwitz</v>
      </c>
      <c r="F60" t="e">
        <f>Gesamt!AE$43*C60</f>
        <v>#VALUE!</v>
      </c>
    </row>
    <row r="61" spans="1:6" hidden="1" x14ac:dyDescent="0.2">
      <c r="A61">
        <f>Gesamt!AE9</f>
        <v>0</v>
      </c>
      <c r="B61">
        <f>Gesamt!AF9</f>
        <v>0</v>
      </c>
      <c r="C61" t="str">
        <f>Gesamt!AG9</f>
        <v xml:space="preserve"> </v>
      </c>
      <c r="D61">
        <f>Gesamt!AF$2</f>
        <v>0</v>
      </c>
      <c r="E61" s="158" t="str">
        <f>Gesamt!$A$3</f>
        <v>Prof. Dr. Benjamin Buchwitz</v>
      </c>
      <c r="F61" t="e">
        <f>Gesamt!AE$43*C61</f>
        <v>#VALUE!</v>
      </c>
    </row>
    <row r="62" spans="1:6" hidden="1" x14ac:dyDescent="0.2">
      <c r="A62">
        <f>Gesamt!AH4</f>
        <v>0</v>
      </c>
      <c r="B62">
        <f>Gesamt!AI4</f>
        <v>0</v>
      </c>
      <c r="C62" t="str">
        <f>Gesamt!AJ4</f>
        <v xml:space="preserve"> </v>
      </c>
      <c r="D62">
        <f>Gesamt!AI$2</f>
        <v>0</v>
      </c>
      <c r="E62" s="158" t="str">
        <f>Gesamt!$A$3</f>
        <v>Prof. Dr. Benjamin Buchwitz</v>
      </c>
      <c r="F62" t="e">
        <f>Gesamt!AH$43*C62</f>
        <v>#VALUE!</v>
      </c>
    </row>
    <row r="63" spans="1:6" hidden="1" x14ac:dyDescent="0.2">
      <c r="A63">
        <f>Gesamt!AH5</f>
        <v>0</v>
      </c>
      <c r="B63">
        <f>Gesamt!AI5</f>
        <v>0</v>
      </c>
      <c r="C63" t="str">
        <f>Gesamt!AJ5</f>
        <v xml:space="preserve"> </v>
      </c>
      <c r="D63">
        <f>Gesamt!AI$2</f>
        <v>0</v>
      </c>
      <c r="E63" s="158" t="str">
        <f>Gesamt!$A$3</f>
        <v>Prof. Dr. Benjamin Buchwitz</v>
      </c>
      <c r="F63" t="e">
        <f>Gesamt!AH$43*C63</f>
        <v>#VALUE!</v>
      </c>
    </row>
    <row r="64" spans="1:6" hidden="1" x14ac:dyDescent="0.2">
      <c r="A64">
        <f>Gesamt!AH6</f>
        <v>0</v>
      </c>
      <c r="B64">
        <f>Gesamt!AI6</f>
        <v>0</v>
      </c>
      <c r="C64" t="str">
        <f>Gesamt!AJ6</f>
        <v xml:space="preserve"> </v>
      </c>
      <c r="D64">
        <f>Gesamt!AI$2</f>
        <v>0</v>
      </c>
      <c r="E64" s="158" t="str">
        <f>Gesamt!$A$3</f>
        <v>Prof. Dr. Benjamin Buchwitz</v>
      </c>
      <c r="F64" t="e">
        <f>Gesamt!AH$43*C64</f>
        <v>#VALUE!</v>
      </c>
    </row>
    <row r="65" spans="1:6" hidden="1" x14ac:dyDescent="0.2">
      <c r="A65">
        <f>Gesamt!AH7</f>
        <v>0</v>
      </c>
      <c r="B65">
        <f>Gesamt!AI7</f>
        <v>0</v>
      </c>
      <c r="C65" t="str">
        <f>Gesamt!AJ7</f>
        <v xml:space="preserve"> </v>
      </c>
      <c r="D65">
        <f>Gesamt!AI$2</f>
        <v>0</v>
      </c>
      <c r="E65" s="158" t="str">
        <f>Gesamt!$A$3</f>
        <v>Prof. Dr. Benjamin Buchwitz</v>
      </c>
      <c r="F65" t="e">
        <f>Gesamt!AH$43*C65</f>
        <v>#VALUE!</v>
      </c>
    </row>
    <row r="66" spans="1:6" hidden="1" x14ac:dyDescent="0.2">
      <c r="A66">
        <f>Gesamt!AH8</f>
        <v>0</v>
      </c>
      <c r="B66">
        <f>Gesamt!AI8</f>
        <v>0</v>
      </c>
      <c r="C66" t="str">
        <f>Gesamt!AJ8</f>
        <v xml:space="preserve"> </v>
      </c>
      <c r="D66">
        <f>Gesamt!AI$2</f>
        <v>0</v>
      </c>
      <c r="E66" s="158" t="str">
        <f>Gesamt!$A$3</f>
        <v>Prof. Dr. Benjamin Buchwitz</v>
      </c>
      <c r="F66" t="e">
        <f>Gesamt!AH$43*C66</f>
        <v>#VALUE!</v>
      </c>
    </row>
    <row r="67" spans="1:6" hidden="1" x14ac:dyDescent="0.2">
      <c r="A67">
        <f>Gesamt!AH9</f>
        <v>0</v>
      </c>
      <c r="B67">
        <f>Gesamt!AI9</f>
        <v>0</v>
      </c>
      <c r="C67" t="str">
        <f>Gesamt!AJ9</f>
        <v xml:space="preserve"> </v>
      </c>
      <c r="D67">
        <f>Gesamt!AI$2</f>
        <v>0</v>
      </c>
      <c r="E67" s="158" t="str">
        <f>Gesamt!$A$3</f>
        <v>Prof. Dr. Benjamin Buchwitz</v>
      </c>
      <c r="F67" t="e">
        <f>Gesamt!AH$43*C67</f>
        <v>#VALUE!</v>
      </c>
    </row>
    <row r="68" spans="1:6" hidden="1" x14ac:dyDescent="0.2">
      <c r="A68">
        <f>Gesamt!AK4</f>
        <v>0</v>
      </c>
      <c r="B68">
        <f>Gesamt!AL4</f>
        <v>0</v>
      </c>
      <c r="C68" t="str">
        <f>Gesamt!AM4</f>
        <v xml:space="preserve"> </v>
      </c>
      <c r="D68">
        <f>Gesamt!AL$2</f>
        <v>0</v>
      </c>
      <c r="E68" s="158" t="str">
        <f>Gesamt!$A$3</f>
        <v>Prof. Dr. Benjamin Buchwitz</v>
      </c>
      <c r="F68" t="e">
        <f>Gesamt!AK$43*C68</f>
        <v>#VALUE!</v>
      </c>
    </row>
    <row r="69" spans="1:6" hidden="1" x14ac:dyDescent="0.2">
      <c r="A69">
        <f>Gesamt!AK5</f>
        <v>0</v>
      </c>
      <c r="B69">
        <f>Gesamt!AL5</f>
        <v>0</v>
      </c>
      <c r="C69" t="str">
        <f>Gesamt!AM5</f>
        <v xml:space="preserve"> </v>
      </c>
      <c r="D69">
        <f>Gesamt!AL$2</f>
        <v>0</v>
      </c>
      <c r="E69" s="158" t="str">
        <f>Gesamt!$A$3</f>
        <v>Prof. Dr. Benjamin Buchwitz</v>
      </c>
      <c r="F69" t="e">
        <f>Gesamt!AK$43*C69</f>
        <v>#VALUE!</v>
      </c>
    </row>
    <row r="70" spans="1:6" hidden="1" x14ac:dyDescent="0.2">
      <c r="A70">
        <f>Gesamt!AK6</f>
        <v>0</v>
      </c>
      <c r="B70">
        <f>Gesamt!AL6</f>
        <v>0</v>
      </c>
      <c r="C70" t="str">
        <f>Gesamt!AM6</f>
        <v xml:space="preserve"> </v>
      </c>
      <c r="D70">
        <f>Gesamt!AL$2</f>
        <v>0</v>
      </c>
      <c r="E70" s="158" t="str">
        <f>Gesamt!$A$3</f>
        <v>Prof. Dr. Benjamin Buchwitz</v>
      </c>
      <c r="F70" t="e">
        <f>Gesamt!AK$43*C70</f>
        <v>#VALUE!</v>
      </c>
    </row>
    <row r="71" spans="1:6" hidden="1" x14ac:dyDescent="0.2">
      <c r="A71">
        <f>Gesamt!AK7</f>
        <v>0</v>
      </c>
      <c r="B71">
        <f>Gesamt!AL7</f>
        <v>0</v>
      </c>
      <c r="C71" t="str">
        <f>Gesamt!AM7</f>
        <v xml:space="preserve"> </v>
      </c>
      <c r="D71">
        <f>Gesamt!AL$2</f>
        <v>0</v>
      </c>
      <c r="E71" s="158" t="str">
        <f>Gesamt!$A$3</f>
        <v>Prof. Dr. Benjamin Buchwitz</v>
      </c>
      <c r="F71" t="e">
        <f>Gesamt!AK$43*C71</f>
        <v>#VALUE!</v>
      </c>
    </row>
    <row r="72" spans="1:6" hidden="1" x14ac:dyDescent="0.2">
      <c r="A72">
        <f>Gesamt!AK8</f>
        <v>0</v>
      </c>
      <c r="B72">
        <f>Gesamt!AL8</f>
        <v>0</v>
      </c>
      <c r="C72" t="str">
        <f>Gesamt!AM8</f>
        <v xml:space="preserve"> </v>
      </c>
      <c r="D72">
        <f>Gesamt!AL$2</f>
        <v>0</v>
      </c>
      <c r="E72" s="158" t="str">
        <f>Gesamt!$A$3</f>
        <v>Prof. Dr. Benjamin Buchwitz</v>
      </c>
      <c r="F72" t="e">
        <f>Gesamt!AK$43*C72</f>
        <v>#VALUE!</v>
      </c>
    </row>
    <row r="73" spans="1:6" hidden="1" x14ac:dyDescent="0.2">
      <c r="A73">
        <f>Gesamt!AK9</f>
        <v>0</v>
      </c>
      <c r="B73">
        <f>Gesamt!AL9</f>
        <v>0</v>
      </c>
      <c r="C73" t="str">
        <f>Gesamt!AM9</f>
        <v xml:space="preserve"> </v>
      </c>
      <c r="D73">
        <f>Gesamt!AL$2</f>
        <v>0</v>
      </c>
      <c r="E73" s="158" t="str">
        <f>Gesamt!$A$3</f>
        <v>Prof. Dr. Benjamin Buchwitz</v>
      </c>
      <c r="F73" t="e">
        <f>Gesamt!AK$43*C73</f>
        <v>#VALUE!</v>
      </c>
    </row>
    <row r="74" spans="1:6" hidden="1" x14ac:dyDescent="0.2">
      <c r="A74">
        <f>Gesamt!AN4</f>
        <v>0</v>
      </c>
      <c r="B74">
        <f>Gesamt!AO4</f>
        <v>0</v>
      </c>
      <c r="C74" t="str">
        <f>Gesamt!AP4</f>
        <v xml:space="preserve"> </v>
      </c>
      <c r="D74">
        <f>Gesamt!AO$2</f>
        <v>0</v>
      </c>
      <c r="E74" s="158" t="str">
        <f>Gesamt!$A$3</f>
        <v>Prof. Dr. Benjamin Buchwitz</v>
      </c>
      <c r="F74" t="e">
        <f>Gesamt!AN$43*C74</f>
        <v>#VALUE!</v>
      </c>
    </row>
    <row r="75" spans="1:6" hidden="1" x14ac:dyDescent="0.2">
      <c r="A75">
        <f>Gesamt!AN5</f>
        <v>0</v>
      </c>
      <c r="B75">
        <f>Gesamt!AO5</f>
        <v>0</v>
      </c>
      <c r="C75" t="str">
        <f>Gesamt!AP5</f>
        <v xml:space="preserve"> </v>
      </c>
      <c r="D75">
        <f>Gesamt!AO$2</f>
        <v>0</v>
      </c>
      <c r="E75" s="158" t="str">
        <f>Gesamt!$A$3</f>
        <v>Prof. Dr. Benjamin Buchwitz</v>
      </c>
      <c r="F75" t="e">
        <f>Gesamt!AN$43*C75</f>
        <v>#VALUE!</v>
      </c>
    </row>
    <row r="76" spans="1:6" hidden="1" x14ac:dyDescent="0.2">
      <c r="A76">
        <f>Gesamt!AN6</f>
        <v>0</v>
      </c>
      <c r="B76">
        <f>Gesamt!AO6</f>
        <v>0</v>
      </c>
      <c r="C76" t="str">
        <f>Gesamt!AP6</f>
        <v xml:space="preserve"> </v>
      </c>
      <c r="D76">
        <f>Gesamt!AO$2</f>
        <v>0</v>
      </c>
      <c r="E76" s="158" t="str">
        <f>Gesamt!$A$3</f>
        <v>Prof. Dr. Benjamin Buchwitz</v>
      </c>
      <c r="F76" t="e">
        <f>Gesamt!AN$43*C76</f>
        <v>#VALUE!</v>
      </c>
    </row>
    <row r="77" spans="1:6" hidden="1" x14ac:dyDescent="0.2">
      <c r="A77">
        <f>Gesamt!AN7</f>
        <v>0</v>
      </c>
      <c r="B77">
        <f>Gesamt!AO7</f>
        <v>0</v>
      </c>
      <c r="C77" t="str">
        <f>Gesamt!AP7</f>
        <v xml:space="preserve"> </v>
      </c>
      <c r="D77">
        <f>Gesamt!AO$2</f>
        <v>0</v>
      </c>
      <c r="E77" s="158" t="str">
        <f>Gesamt!$A$3</f>
        <v>Prof. Dr. Benjamin Buchwitz</v>
      </c>
      <c r="F77" t="e">
        <f>Gesamt!AN$43*C77</f>
        <v>#VALUE!</v>
      </c>
    </row>
    <row r="78" spans="1:6" hidden="1" x14ac:dyDescent="0.2">
      <c r="A78">
        <f>Gesamt!AN8</f>
        <v>0</v>
      </c>
      <c r="B78">
        <f>Gesamt!AO8</f>
        <v>0</v>
      </c>
      <c r="C78" t="str">
        <f>Gesamt!AP8</f>
        <v xml:space="preserve"> </v>
      </c>
      <c r="D78">
        <f>Gesamt!AO$2</f>
        <v>0</v>
      </c>
      <c r="E78" s="158" t="str">
        <f>Gesamt!$A$3</f>
        <v>Prof. Dr. Benjamin Buchwitz</v>
      </c>
      <c r="F78" t="e">
        <f>Gesamt!AN$43*C78</f>
        <v>#VALUE!</v>
      </c>
    </row>
    <row r="79" spans="1:6" hidden="1" x14ac:dyDescent="0.2">
      <c r="A79">
        <f>Gesamt!AN9</f>
        <v>0</v>
      </c>
      <c r="B79">
        <f>Gesamt!AO9</f>
        <v>0</v>
      </c>
      <c r="C79" t="str">
        <f>Gesamt!AP9</f>
        <v xml:space="preserve"> </v>
      </c>
      <c r="D79">
        <f>Gesamt!AO$2</f>
        <v>0</v>
      </c>
      <c r="E79" s="158" t="str">
        <f>Gesamt!$A$3</f>
        <v>Prof. Dr. Benjamin Buchwitz</v>
      </c>
      <c r="F79" t="e">
        <f>Gesamt!AN$43*C79</f>
        <v>#VALUE!</v>
      </c>
    </row>
  </sheetData>
  <autoFilter ref="A1:F79" xr:uid="{CEFAFD33-7D4C-4C4F-8E98-AB0D091828C5}">
    <filterColumn colId="0">
      <filters>
        <filter val="10054346"/>
        <filter val="10055546"/>
        <filter val="10056280"/>
        <filter val="10059161"/>
        <filter val="10060667"/>
        <filter val="30068652"/>
        <filter val="30069729"/>
        <filter val="30080553"/>
        <filter val="30098015"/>
        <filter val="30102619"/>
        <filter val="30103714"/>
        <filter val="30105553"/>
        <filter val="30109030"/>
        <filter val="30109605"/>
        <filter val="30117662"/>
        <filter val="30157495"/>
        <filter val="30169249"/>
        <filter val="30174627"/>
        <filter val="30176436"/>
        <filter val="30178513"/>
        <filter val="30180510"/>
        <filter val="30180945"/>
        <filter val="30184295"/>
        <filter val="30189063"/>
        <filter val="30191721"/>
        <filter val="301919291"/>
        <filter val="30192111"/>
        <filter val="30196656"/>
        <filter val="30196797"/>
        <filter val="30196809"/>
        <filter val="30196979"/>
        <filter val="30197330"/>
        <filter val="30197369"/>
        <filter val="30197455"/>
        <filter val="30197976"/>
        <filter val="30198324"/>
        <filter val="30198379"/>
        <filter val="30198395"/>
        <filter val="30198618"/>
        <filter val="30198689"/>
        <filter val="30198720"/>
        <filter val="30198775"/>
        <filter val="30199433"/>
        <filter val="30202465"/>
        <filter val="30203235"/>
        <filter val="30203897"/>
      </filters>
    </filterColumn>
  </autoFilter>
  <phoneticPr fontId="13" type="noConversion"/>
  <pageMargins left="0.7" right="0.7" top="0.78740157499999996" bottom="0.78740157499999996"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B0BB3-A774-9440-84A3-4CA16D2D35C8}">
  <sheetPr codeName="Tabelle2">
    <tabColor rgb="FF00B050"/>
  </sheetPr>
  <dimension ref="A1:AP46"/>
  <sheetViews>
    <sheetView tabSelected="1" zoomScaleNormal="100" workbookViewId="0">
      <pane xSplit="3" ySplit="2" topLeftCell="D3" activePane="bottomRight" state="frozen"/>
      <selection pane="topRight" activeCell="D1" sqref="D1"/>
      <selection pane="bottomLeft" activeCell="A3" sqref="A3"/>
      <selection pane="bottomRight" activeCell="E14" sqref="E14:F14"/>
    </sheetView>
  </sheetViews>
  <sheetFormatPr baseColWidth="10" defaultRowHeight="16" x14ac:dyDescent="0.2"/>
  <cols>
    <col min="1" max="1" width="46.6640625" style="1" customWidth="1"/>
    <col min="2" max="2" width="33" style="26" customWidth="1"/>
    <col min="3" max="3" width="11" style="2" customWidth="1"/>
    <col min="4" max="4" width="12.83203125" style="39" customWidth="1"/>
    <col min="5" max="5" width="32.83203125" style="105" customWidth="1"/>
    <col min="6" max="6" width="8.83203125" style="97" customWidth="1"/>
    <col min="7" max="7" width="12.83203125" customWidth="1"/>
    <col min="8" max="8" width="32.83203125" style="129" customWidth="1"/>
    <col min="9" max="9" width="8.83203125" style="130" customWidth="1"/>
    <col min="10" max="10" width="12.83203125" customWidth="1"/>
    <col min="11" max="11" width="32.83203125" style="109" customWidth="1"/>
    <col min="12" max="12" width="8.83203125" style="80" customWidth="1"/>
    <col min="13" max="13" width="12.83203125" style="108" customWidth="1"/>
    <col min="14" max="14" width="32.83203125" style="114" customWidth="1"/>
    <col min="15" max="15" width="8.83203125" style="115" customWidth="1"/>
    <col min="16" max="16" width="12.83203125" style="108" customWidth="1"/>
    <col min="17" max="17" width="32.83203125" style="114" customWidth="1"/>
    <col min="18" max="18" width="8.83203125" style="115" customWidth="1"/>
    <col min="19" max="19" width="12.83203125" style="108" customWidth="1"/>
    <col min="20" max="20" width="32.83203125" style="114" customWidth="1"/>
    <col min="21" max="21" width="8.83203125" style="115" customWidth="1"/>
    <col min="22" max="22" width="12.83203125" style="108" customWidth="1"/>
    <col min="23" max="23" width="32.83203125" style="109" customWidth="1"/>
    <col min="24" max="24" width="8.83203125" style="80" customWidth="1"/>
    <col min="25" max="25" width="12.83203125" style="108" customWidth="1"/>
    <col min="26" max="26" width="32.83203125" style="109" customWidth="1"/>
    <col min="27" max="27" width="8.83203125" style="80" customWidth="1"/>
    <col min="28" max="28" width="12.83203125" style="108" customWidth="1"/>
    <col min="29" max="29" width="32.83203125" style="109" customWidth="1"/>
    <col min="30" max="30" width="8.83203125" style="80" customWidth="1"/>
    <col min="31" max="31" width="12.83203125" style="108" customWidth="1"/>
    <col min="32" max="32" width="32.83203125" style="109" customWidth="1"/>
    <col min="33" max="33" width="8.83203125" style="80" customWidth="1"/>
    <col min="34" max="34" width="12.83203125" style="108" customWidth="1"/>
    <col min="35" max="35" width="32.83203125" style="108" customWidth="1"/>
    <col min="36" max="36" width="8.83203125" style="34" customWidth="1"/>
    <col min="37" max="37" width="12.83203125" style="108" customWidth="1"/>
    <col min="38" max="38" width="32.83203125" style="108" customWidth="1"/>
    <col min="39" max="39" width="8.83203125" style="34" customWidth="1"/>
    <col min="40" max="40" width="12.83203125" style="108" customWidth="1"/>
    <col min="41" max="41" width="33" style="108" customWidth="1"/>
    <col min="42" max="42" width="8.83203125" style="34" customWidth="1"/>
  </cols>
  <sheetData>
    <row r="1" spans="1:42" s="47" customFormat="1" ht="17" x14ac:dyDescent="0.2">
      <c r="A1" s="43" t="s">
        <v>156</v>
      </c>
      <c r="B1" s="44"/>
      <c r="C1" s="45"/>
      <c r="D1" s="46" t="str">
        <f>"Gruppe: " &amp; E2</f>
        <v>Gruppe: Statistics Gals</v>
      </c>
      <c r="E1" s="98"/>
      <c r="F1" s="93"/>
      <c r="G1" s="85" t="str">
        <f t="shared" ref="G1" si="0">"Gruppe: " &amp; H2</f>
        <v>Gruppe: Statistik DASJ</v>
      </c>
      <c r="H1" s="120"/>
      <c r="I1" s="121"/>
      <c r="J1" s="85" t="str">
        <f t="shared" ref="J1" si="1">"Gruppe: " &amp; K2</f>
        <v>Gruppe: Kreativität = 0</v>
      </c>
      <c r="K1" s="101"/>
      <c r="L1" s="93"/>
      <c r="M1" s="85" t="str">
        <f t="shared" ref="M1" si="2">"Gruppe: " &amp; N2</f>
        <v>Gruppe: Teamtastik</v>
      </c>
      <c r="N1" s="87"/>
      <c r="O1" s="88"/>
      <c r="P1" s="85" t="str">
        <f t="shared" ref="P1" si="3">"Gruppe: " &amp; Q2</f>
        <v>Gruppe: Die Datenanalytiker</v>
      </c>
      <c r="Q1" s="87"/>
      <c r="R1" s="88"/>
      <c r="S1" s="85" t="str">
        <f t="shared" ref="S1" si="4">"Gruppe: " &amp; T2</f>
        <v>Gruppe: Die Schalker</v>
      </c>
      <c r="T1" s="87"/>
      <c r="U1" s="88"/>
      <c r="V1" s="85" t="str">
        <f t="shared" ref="V1" si="5">"Gruppe: " &amp; W2</f>
        <v>Gruppe: JAMT</v>
      </c>
      <c r="W1" s="101"/>
      <c r="X1" s="93"/>
      <c r="Y1" s="85" t="str">
        <f t="shared" ref="Y1" si="6">"Gruppe: " &amp; Z2</f>
        <v>Gruppe: Crystal Math</v>
      </c>
      <c r="Z1" s="101"/>
      <c r="AA1" s="93"/>
      <c r="AB1" s="85" t="str">
        <f t="shared" ref="AB1" si="7">"Gruppe: " &amp; AC2</f>
        <v>Gruppe: Mineralwasser 3</v>
      </c>
      <c r="AC1" s="101"/>
      <c r="AD1" s="93"/>
      <c r="AE1" s="85" t="str">
        <f t="shared" ref="AE1" si="8">"Gruppe: " &amp; AF2</f>
        <v xml:space="preserve">Gruppe: </v>
      </c>
      <c r="AF1" s="101"/>
      <c r="AG1" s="93"/>
      <c r="AH1" s="85" t="str">
        <f t="shared" ref="AH1" si="9">"Gruppe: " &amp; AI2</f>
        <v xml:space="preserve">Gruppe: </v>
      </c>
      <c r="AI1" s="101"/>
      <c r="AJ1" s="93"/>
      <c r="AK1" s="85" t="str">
        <f t="shared" ref="AK1" si="10">"Gruppe: " &amp; AL2</f>
        <v xml:space="preserve">Gruppe: </v>
      </c>
      <c r="AL1" s="101"/>
      <c r="AM1" s="93"/>
      <c r="AN1" s="85" t="str">
        <f t="shared" ref="AN1" si="11">"Gruppe: " &amp; AO2</f>
        <v xml:space="preserve">Gruppe: </v>
      </c>
      <c r="AO1" s="101"/>
      <c r="AP1" s="93"/>
    </row>
    <row r="2" spans="1:42" s="13" customFormat="1" ht="17" x14ac:dyDescent="0.2">
      <c r="A2" s="11" t="s">
        <v>13</v>
      </c>
      <c r="B2" s="25"/>
      <c r="C2" s="12"/>
      <c r="D2" s="35" t="s">
        <v>19</v>
      </c>
      <c r="E2" s="208" t="s">
        <v>20</v>
      </c>
      <c r="F2" s="209"/>
      <c r="G2" s="14" t="s">
        <v>19</v>
      </c>
      <c r="H2" s="218" t="s">
        <v>38</v>
      </c>
      <c r="I2" s="219"/>
      <c r="J2" s="14" t="s">
        <v>19</v>
      </c>
      <c r="K2" s="220" t="s">
        <v>50</v>
      </c>
      <c r="L2" s="221"/>
      <c r="M2" s="82" t="s">
        <v>19</v>
      </c>
      <c r="N2" s="222" t="s">
        <v>57</v>
      </c>
      <c r="O2" s="223"/>
      <c r="P2" s="82" t="s">
        <v>19</v>
      </c>
      <c r="Q2" s="222" t="s">
        <v>61</v>
      </c>
      <c r="R2" s="223"/>
      <c r="S2" s="82" t="s">
        <v>19</v>
      </c>
      <c r="T2" s="222" t="s">
        <v>66</v>
      </c>
      <c r="U2" s="223"/>
      <c r="V2" s="82" t="s">
        <v>19</v>
      </c>
      <c r="W2" s="220" t="s">
        <v>71</v>
      </c>
      <c r="X2" s="221"/>
      <c r="Y2" s="82" t="s">
        <v>19</v>
      </c>
      <c r="Z2" s="220" t="s">
        <v>77</v>
      </c>
      <c r="AA2" s="221"/>
      <c r="AB2" s="82" t="s">
        <v>19</v>
      </c>
      <c r="AC2" s="220" t="s">
        <v>80</v>
      </c>
      <c r="AD2" s="221"/>
      <c r="AE2" s="82" t="s">
        <v>19</v>
      </c>
      <c r="AF2" s="220"/>
      <c r="AG2" s="221"/>
      <c r="AH2" s="82" t="s">
        <v>19</v>
      </c>
      <c r="AI2" s="220"/>
      <c r="AJ2" s="221"/>
      <c r="AK2" s="82" t="s">
        <v>19</v>
      </c>
      <c r="AL2" s="220"/>
      <c r="AM2" s="221"/>
      <c r="AN2" s="82" t="s">
        <v>19</v>
      </c>
      <c r="AO2" s="220"/>
      <c r="AP2" s="221"/>
    </row>
    <row r="3" spans="1:42" s="16" customFormat="1" ht="17" x14ac:dyDescent="0.2">
      <c r="A3" s="210" t="s">
        <v>16</v>
      </c>
      <c r="B3" s="31"/>
      <c r="C3" s="32"/>
      <c r="D3" s="36" t="s">
        <v>21</v>
      </c>
      <c r="E3" s="99" t="s">
        <v>15</v>
      </c>
      <c r="F3" s="91" t="s">
        <v>294</v>
      </c>
      <c r="G3" s="15" t="s">
        <v>21</v>
      </c>
      <c r="H3" s="122" t="s">
        <v>15</v>
      </c>
      <c r="I3" s="91" t="s">
        <v>294</v>
      </c>
      <c r="J3" s="15" t="s">
        <v>21</v>
      </c>
      <c r="K3" s="99" t="s">
        <v>15</v>
      </c>
      <c r="L3" s="91" t="s">
        <v>294</v>
      </c>
      <c r="M3" s="83" t="s">
        <v>21</v>
      </c>
      <c r="N3" s="89" t="s">
        <v>15</v>
      </c>
      <c r="O3" s="91" t="s">
        <v>294</v>
      </c>
      <c r="P3" s="83" t="s">
        <v>21</v>
      </c>
      <c r="Q3" s="89" t="s">
        <v>15</v>
      </c>
      <c r="R3" s="91" t="s">
        <v>294</v>
      </c>
      <c r="S3" s="83" t="s">
        <v>21</v>
      </c>
      <c r="T3" s="89" t="s">
        <v>15</v>
      </c>
      <c r="U3" s="91" t="s">
        <v>294</v>
      </c>
      <c r="V3" s="83" t="s">
        <v>21</v>
      </c>
      <c r="W3" s="99" t="s">
        <v>15</v>
      </c>
      <c r="X3" s="91" t="s">
        <v>294</v>
      </c>
      <c r="Y3" s="83" t="s">
        <v>21</v>
      </c>
      <c r="Z3" s="99" t="s">
        <v>15</v>
      </c>
      <c r="AA3" s="91" t="s">
        <v>294</v>
      </c>
      <c r="AB3" s="83" t="s">
        <v>21</v>
      </c>
      <c r="AC3" s="99" t="s">
        <v>15</v>
      </c>
      <c r="AD3" s="91" t="s">
        <v>294</v>
      </c>
      <c r="AE3" s="83" t="s">
        <v>21</v>
      </c>
      <c r="AF3" s="99" t="s">
        <v>15</v>
      </c>
      <c r="AG3" s="91" t="s">
        <v>294</v>
      </c>
      <c r="AH3" s="83" t="s">
        <v>21</v>
      </c>
      <c r="AI3" s="99" t="s">
        <v>15</v>
      </c>
      <c r="AJ3" s="91" t="s">
        <v>294</v>
      </c>
      <c r="AK3" s="83" t="s">
        <v>21</v>
      </c>
      <c r="AL3" s="99" t="s">
        <v>15</v>
      </c>
      <c r="AM3" s="91" t="s">
        <v>294</v>
      </c>
      <c r="AN3" s="83" t="s">
        <v>21</v>
      </c>
      <c r="AO3" s="99" t="s">
        <v>15</v>
      </c>
      <c r="AP3" s="91" t="s">
        <v>294</v>
      </c>
    </row>
    <row r="4" spans="1:42" s="23" customFormat="1" ht="17" x14ac:dyDescent="0.2">
      <c r="A4" s="11" t="s">
        <v>17</v>
      </c>
      <c r="B4" s="25"/>
      <c r="C4" s="12"/>
      <c r="D4" s="37">
        <v>30202465</v>
      </c>
      <c r="E4" s="100" t="s">
        <v>22</v>
      </c>
      <c r="F4" s="92" t="b">
        <v>1</v>
      </c>
      <c r="G4" s="23">
        <v>30198775</v>
      </c>
      <c r="H4" s="123" t="s">
        <v>42</v>
      </c>
      <c r="I4" s="92" t="b">
        <v>1</v>
      </c>
      <c r="J4" s="23">
        <v>30198395</v>
      </c>
      <c r="K4" s="100" t="s">
        <v>51</v>
      </c>
      <c r="L4" s="92" t="b">
        <v>1</v>
      </c>
      <c r="M4" s="84">
        <v>30109030</v>
      </c>
      <c r="N4" s="90" t="s">
        <v>58</v>
      </c>
      <c r="O4" s="92" t="b">
        <v>1</v>
      </c>
      <c r="P4" s="84">
        <v>30203897</v>
      </c>
      <c r="Q4" s="90" t="s">
        <v>62</v>
      </c>
      <c r="R4" s="92" t="b">
        <v>1</v>
      </c>
      <c r="S4" s="84">
        <v>30174627</v>
      </c>
      <c r="T4" s="90" t="s">
        <v>67</v>
      </c>
      <c r="U4" s="131" t="b">
        <v>1</v>
      </c>
      <c r="V4" s="84">
        <v>30196797</v>
      </c>
      <c r="W4" s="100" t="s">
        <v>76</v>
      </c>
      <c r="X4" s="92" t="b">
        <v>1</v>
      </c>
      <c r="Y4" s="84">
        <v>30180510</v>
      </c>
      <c r="Z4" s="100" t="s">
        <v>79</v>
      </c>
      <c r="AA4" s="92" t="b">
        <v>1</v>
      </c>
      <c r="AB4" s="84">
        <v>30184295</v>
      </c>
      <c r="AC4" s="100" t="s">
        <v>81</v>
      </c>
      <c r="AD4" s="92" t="b">
        <v>1</v>
      </c>
      <c r="AE4" s="84"/>
      <c r="AF4" s="100"/>
      <c r="AG4" s="92" t="s">
        <v>295</v>
      </c>
      <c r="AH4" s="84"/>
      <c r="AI4" s="100"/>
      <c r="AJ4" s="92" t="s">
        <v>295</v>
      </c>
      <c r="AK4" s="84"/>
      <c r="AL4" s="100"/>
      <c r="AM4" s="92" t="s">
        <v>295</v>
      </c>
      <c r="AN4" s="84"/>
      <c r="AO4" s="100"/>
      <c r="AP4" s="92" t="s">
        <v>295</v>
      </c>
    </row>
    <row r="5" spans="1:42" s="16" customFormat="1" x14ac:dyDescent="0.2">
      <c r="A5" s="211" t="s">
        <v>18</v>
      </c>
      <c r="B5" s="33"/>
      <c r="C5" s="32"/>
      <c r="D5" s="224">
        <v>30199433</v>
      </c>
      <c r="E5" s="225" t="s">
        <v>23</v>
      </c>
      <c r="F5" s="226" t="b">
        <v>1</v>
      </c>
      <c r="G5" s="211">
        <v>30198379</v>
      </c>
      <c r="H5" s="227" t="s">
        <v>39</v>
      </c>
      <c r="I5" s="226" t="b">
        <v>1</v>
      </c>
      <c r="J5" s="211">
        <v>30176436</v>
      </c>
      <c r="K5" s="225" t="s">
        <v>52</v>
      </c>
      <c r="L5" s="226" t="b">
        <v>1</v>
      </c>
      <c r="M5" s="228">
        <v>30197369</v>
      </c>
      <c r="N5" s="229" t="s">
        <v>59</v>
      </c>
      <c r="O5" s="226" t="b">
        <v>0</v>
      </c>
      <c r="P5" s="228">
        <v>30203235</v>
      </c>
      <c r="Q5" s="229" t="s">
        <v>63</v>
      </c>
      <c r="R5" s="226" t="b">
        <v>1</v>
      </c>
      <c r="S5" s="228">
        <v>30103714</v>
      </c>
      <c r="T5" s="229" t="s">
        <v>68</v>
      </c>
      <c r="U5" s="230" t="b">
        <v>1</v>
      </c>
      <c r="V5" s="228">
        <v>30191721</v>
      </c>
      <c r="W5" s="225" t="s">
        <v>75</v>
      </c>
      <c r="X5" s="226" t="b">
        <v>1</v>
      </c>
      <c r="Y5" s="228">
        <v>10055546</v>
      </c>
      <c r="Z5" s="225" t="s">
        <v>78</v>
      </c>
      <c r="AA5" s="226" t="b">
        <v>1</v>
      </c>
      <c r="AB5" s="228">
        <v>30157495</v>
      </c>
      <c r="AC5" s="225" t="s">
        <v>82</v>
      </c>
      <c r="AD5" s="226" t="b">
        <v>1</v>
      </c>
      <c r="AE5" s="228"/>
      <c r="AF5" s="225"/>
      <c r="AG5" s="226" t="s">
        <v>295</v>
      </c>
      <c r="AH5" s="228"/>
      <c r="AI5" s="225"/>
      <c r="AJ5" s="226" t="s">
        <v>295</v>
      </c>
      <c r="AK5" s="228"/>
      <c r="AL5" s="225"/>
      <c r="AM5" s="226" t="s">
        <v>295</v>
      </c>
      <c r="AN5" s="228"/>
      <c r="AO5" s="225"/>
      <c r="AP5" s="226" t="s">
        <v>295</v>
      </c>
    </row>
    <row r="6" spans="1:42" s="16" customFormat="1" x14ac:dyDescent="0.2">
      <c r="A6" s="30"/>
      <c r="B6" s="31"/>
      <c r="C6" s="32"/>
      <c r="D6" s="224">
        <v>30189063</v>
      </c>
      <c r="E6" s="225" t="s">
        <v>24</v>
      </c>
      <c r="F6" s="226" t="b">
        <v>1</v>
      </c>
      <c r="G6" s="211">
        <v>30198618</v>
      </c>
      <c r="H6" s="227" t="s">
        <v>40</v>
      </c>
      <c r="I6" s="226" t="b">
        <v>1</v>
      </c>
      <c r="J6" s="211">
        <v>30180945</v>
      </c>
      <c r="K6" s="225" t="s">
        <v>53</v>
      </c>
      <c r="L6" s="226" t="b">
        <v>1</v>
      </c>
      <c r="M6" s="228">
        <v>30178513</v>
      </c>
      <c r="N6" s="229" t="s">
        <v>60</v>
      </c>
      <c r="O6" s="226" t="b">
        <v>1</v>
      </c>
      <c r="P6" s="228">
        <v>30196656</v>
      </c>
      <c r="Q6" s="229" t="s">
        <v>64</v>
      </c>
      <c r="R6" s="226" t="b">
        <v>1</v>
      </c>
      <c r="S6" s="228">
        <v>30098015</v>
      </c>
      <c r="T6" s="229" t="s">
        <v>69</v>
      </c>
      <c r="U6" s="230" t="b">
        <v>1</v>
      </c>
      <c r="V6" s="228">
        <v>30197330</v>
      </c>
      <c r="W6" s="225" t="s">
        <v>74</v>
      </c>
      <c r="X6" s="226" t="b">
        <v>1</v>
      </c>
      <c r="Y6" s="228">
        <v>30068652</v>
      </c>
      <c r="Z6" s="225" t="s">
        <v>303</v>
      </c>
      <c r="AA6" s="226" t="b">
        <v>0</v>
      </c>
      <c r="AB6" s="228">
        <v>10056280</v>
      </c>
      <c r="AC6" s="225" t="s">
        <v>83</v>
      </c>
      <c r="AD6" s="226" t="b">
        <v>1</v>
      </c>
      <c r="AE6" s="228"/>
      <c r="AF6" s="225"/>
      <c r="AG6" s="226" t="s">
        <v>295</v>
      </c>
      <c r="AH6" s="228"/>
      <c r="AI6" s="225"/>
      <c r="AJ6" s="226" t="s">
        <v>295</v>
      </c>
      <c r="AK6" s="228"/>
      <c r="AL6" s="225"/>
      <c r="AM6" s="226" t="s">
        <v>295</v>
      </c>
      <c r="AN6" s="228"/>
      <c r="AO6" s="225"/>
      <c r="AP6" s="226" t="s">
        <v>295</v>
      </c>
    </row>
    <row r="7" spans="1:42" s="16" customFormat="1" x14ac:dyDescent="0.2">
      <c r="A7" s="30"/>
      <c r="B7" s="31"/>
      <c r="C7" s="32"/>
      <c r="D7" s="224">
        <v>30198324</v>
      </c>
      <c r="E7" s="225" t="s">
        <v>25</v>
      </c>
      <c r="F7" s="226" t="b">
        <v>1</v>
      </c>
      <c r="G7" s="211">
        <v>30198720</v>
      </c>
      <c r="H7" s="227" t="s">
        <v>41</v>
      </c>
      <c r="I7" s="226" t="b">
        <v>1</v>
      </c>
      <c r="J7" s="211">
        <v>30197455</v>
      </c>
      <c r="K7" s="225" t="s">
        <v>54</v>
      </c>
      <c r="L7" s="226" t="b">
        <v>1</v>
      </c>
      <c r="M7" s="228">
        <v>30069729</v>
      </c>
      <c r="N7" s="229" t="s">
        <v>125</v>
      </c>
      <c r="O7" s="226" t="b">
        <v>1</v>
      </c>
      <c r="P7" s="228">
        <v>30102619</v>
      </c>
      <c r="Q7" s="229" t="s">
        <v>65</v>
      </c>
      <c r="R7" s="226" t="b">
        <v>1</v>
      </c>
      <c r="S7" s="228">
        <v>30169249</v>
      </c>
      <c r="T7" s="229" t="s">
        <v>70</v>
      </c>
      <c r="U7" s="230" t="b">
        <v>1</v>
      </c>
      <c r="V7" s="228">
        <v>301919291</v>
      </c>
      <c r="W7" s="225" t="s">
        <v>72</v>
      </c>
      <c r="X7" s="226" t="b">
        <v>1</v>
      </c>
      <c r="Y7" s="228">
        <v>10059161</v>
      </c>
      <c r="Z7" s="225" t="s">
        <v>302</v>
      </c>
      <c r="AA7" s="226" t="b">
        <v>0</v>
      </c>
      <c r="AB7" s="228">
        <v>30117662</v>
      </c>
      <c r="AC7" s="225" t="s">
        <v>84</v>
      </c>
      <c r="AD7" s="226" t="b">
        <v>1</v>
      </c>
      <c r="AE7" s="228"/>
      <c r="AF7" s="225"/>
      <c r="AG7" s="226" t="s">
        <v>295</v>
      </c>
      <c r="AH7" s="228"/>
      <c r="AI7" s="225"/>
      <c r="AJ7" s="226" t="s">
        <v>295</v>
      </c>
      <c r="AK7" s="228"/>
      <c r="AL7" s="225"/>
      <c r="AM7" s="226" t="s">
        <v>295</v>
      </c>
      <c r="AN7" s="228"/>
      <c r="AO7" s="225"/>
      <c r="AP7" s="226" t="s">
        <v>295</v>
      </c>
    </row>
    <row r="8" spans="1:42" s="16" customFormat="1" x14ac:dyDescent="0.2">
      <c r="A8" s="30"/>
      <c r="B8" s="31"/>
      <c r="C8" s="32"/>
      <c r="D8" s="224">
        <v>30192111</v>
      </c>
      <c r="E8" s="225" t="s">
        <v>26</v>
      </c>
      <c r="F8" s="226" t="b">
        <v>1</v>
      </c>
      <c r="G8" s="211"/>
      <c r="H8" s="227"/>
      <c r="I8" s="226" t="s">
        <v>295</v>
      </c>
      <c r="J8" s="211">
        <v>30109605</v>
      </c>
      <c r="K8" s="225" t="s">
        <v>124</v>
      </c>
      <c r="L8" s="226" t="b">
        <v>1</v>
      </c>
      <c r="M8" s="211">
        <v>10060667</v>
      </c>
      <c r="N8" s="229" t="s">
        <v>298</v>
      </c>
      <c r="O8" s="226" t="b">
        <v>0</v>
      </c>
      <c r="P8" s="228">
        <v>30105553</v>
      </c>
      <c r="Q8" s="229" t="s">
        <v>299</v>
      </c>
      <c r="R8" s="226" t="b">
        <v>0</v>
      </c>
      <c r="S8" s="228"/>
      <c r="T8" s="229"/>
      <c r="U8" s="230" t="s">
        <v>295</v>
      </c>
      <c r="V8" s="228">
        <v>10054346</v>
      </c>
      <c r="W8" s="225" t="s">
        <v>73</v>
      </c>
      <c r="X8" s="226" t="b">
        <v>1</v>
      </c>
      <c r="Y8" s="228">
        <v>30196979</v>
      </c>
      <c r="Z8" s="225" t="s">
        <v>301</v>
      </c>
      <c r="AA8" s="226" t="b">
        <v>0</v>
      </c>
      <c r="AB8" s="228">
        <v>30080553</v>
      </c>
      <c r="AC8" s="225" t="s">
        <v>85</v>
      </c>
      <c r="AD8" s="226" t="b">
        <v>1</v>
      </c>
      <c r="AE8" s="228"/>
      <c r="AF8" s="225"/>
      <c r="AG8" s="226" t="s">
        <v>295</v>
      </c>
      <c r="AH8" s="228"/>
      <c r="AI8" s="225"/>
      <c r="AJ8" s="226" t="s">
        <v>295</v>
      </c>
      <c r="AK8" s="228"/>
      <c r="AL8" s="225"/>
      <c r="AM8" s="226" t="s">
        <v>295</v>
      </c>
      <c r="AN8" s="228"/>
      <c r="AO8" s="225"/>
      <c r="AP8" s="226" t="s">
        <v>295</v>
      </c>
    </row>
    <row r="9" spans="1:42" s="16" customFormat="1" x14ac:dyDescent="0.2">
      <c r="A9" s="30"/>
      <c r="B9" s="31"/>
      <c r="C9" s="32"/>
      <c r="D9" s="224"/>
      <c r="E9" s="225"/>
      <c r="F9" s="226" t="s">
        <v>295</v>
      </c>
      <c r="G9" s="211"/>
      <c r="H9" s="227"/>
      <c r="I9" s="226" t="s">
        <v>295</v>
      </c>
      <c r="J9" s="211">
        <v>30198689</v>
      </c>
      <c r="K9" s="225" t="s">
        <v>55</v>
      </c>
      <c r="L9" s="226" t="b">
        <v>1</v>
      </c>
      <c r="M9" s="228">
        <v>30196809</v>
      </c>
      <c r="N9" s="229" t="s">
        <v>297</v>
      </c>
      <c r="O9" s="226" t="b">
        <v>0</v>
      </c>
      <c r="P9" s="228"/>
      <c r="Q9" s="229"/>
      <c r="R9" s="226" t="s">
        <v>295</v>
      </c>
      <c r="S9" s="228"/>
      <c r="T9" s="229"/>
      <c r="U9" s="230" t="s">
        <v>295</v>
      </c>
      <c r="V9" s="228"/>
      <c r="W9" s="225"/>
      <c r="X9" s="226" t="s">
        <v>295</v>
      </c>
      <c r="Y9" s="228">
        <v>30197976</v>
      </c>
      <c r="Z9" s="225" t="s">
        <v>300</v>
      </c>
      <c r="AA9" s="226" t="b">
        <v>0</v>
      </c>
      <c r="AB9" s="228"/>
      <c r="AC9" s="225"/>
      <c r="AD9" s="226" t="s">
        <v>295</v>
      </c>
      <c r="AE9" s="228"/>
      <c r="AF9" s="225"/>
      <c r="AG9" s="226" t="s">
        <v>295</v>
      </c>
      <c r="AH9" s="228"/>
      <c r="AI9" s="225"/>
      <c r="AJ9" s="226" t="s">
        <v>295</v>
      </c>
      <c r="AK9" s="228"/>
      <c r="AL9" s="225"/>
      <c r="AM9" s="226" t="s">
        <v>295</v>
      </c>
      <c r="AN9" s="228"/>
      <c r="AO9" s="225"/>
      <c r="AP9" s="226" t="s">
        <v>295</v>
      </c>
    </row>
    <row r="10" spans="1:42" s="47" customFormat="1" ht="17" x14ac:dyDescent="0.2">
      <c r="A10" s="43" t="s">
        <v>10</v>
      </c>
      <c r="B10" s="44"/>
      <c r="C10" s="45"/>
      <c r="D10" s="46" t="str">
        <f>"Gruppe: " &amp; E2</f>
        <v>Gruppe: Statistics Gals</v>
      </c>
      <c r="E10" s="101"/>
      <c r="F10" s="93"/>
      <c r="G10" s="85" t="str">
        <f t="shared" ref="G10" si="12">"Gruppe: " &amp; H2</f>
        <v>Gruppe: Statistik DASJ</v>
      </c>
      <c r="H10" s="124"/>
      <c r="I10" s="121"/>
      <c r="J10" s="85" t="str">
        <f t="shared" ref="J10" si="13">"Gruppe: " &amp; K2</f>
        <v>Gruppe: Kreativität = 0</v>
      </c>
      <c r="K10" s="101"/>
      <c r="L10" s="93"/>
      <c r="M10" s="85" t="str">
        <f t="shared" ref="M10" si="14">"Gruppe: " &amp; N2</f>
        <v>Gruppe: Teamtastik</v>
      </c>
      <c r="N10" s="87"/>
      <c r="O10" s="88"/>
      <c r="P10" s="85" t="str">
        <f t="shared" ref="P10" si="15">"Gruppe: " &amp; Q2</f>
        <v>Gruppe: Die Datenanalytiker</v>
      </c>
      <c r="Q10" s="87"/>
      <c r="R10" s="88"/>
      <c r="S10" s="85" t="str">
        <f t="shared" ref="S10" si="16">"Gruppe: " &amp; T2</f>
        <v>Gruppe: Die Schalker</v>
      </c>
      <c r="T10" s="87"/>
      <c r="U10" s="88"/>
      <c r="V10" s="85" t="str">
        <f t="shared" ref="V10" si="17">"Gruppe: " &amp; W2</f>
        <v>Gruppe: JAMT</v>
      </c>
      <c r="W10" s="101"/>
      <c r="X10" s="93"/>
      <c r="Y10" s="85" t="str">
        <f t="shared" ref="Y10" si="18">"Gruppe: " &amp; Z2</f>
        <v>Gruppe: Crystal Math</v>
      </c>
      <c r="Z10" s="101"/>
      <c r="AA10" s="93"/>
      <c r="AB10" s="85" t="str">
        <f t="shared" ref="AB10" si="19">"Gruppe: " &amp; AC2</f>
        <v>Gruppe: Mineralwasser 3</v>
      </c>
      <c r="AC10" s="101"/>
      <c r="AD10" s="93"/>
      <c r="AE10" s="85" t="str">
        <f t="shared" ref="AE10" si="20">"Gruppe: " &amp; AF2</f>
        <v xml:space="preserve">Gruppe: </v>
      </c>
      <c r="AF10" s="101"/>
      <c r="AG10" s="93"/>
      <c r="AH10" s="85" t="str">
        <f t="shared" ref="AH10" si="21">"Gruppe: " &amp; AI2</f>
        <v xml:space="preserve">Gruppe: </v>
      </c>
      <c r="AI10" s="101"/>
      <c r="AJ10" s="93"/>
      <c r="AK10" s="85" t="str">
        <f t="shared" ref="AK10" si="22">"Gruppe: " &amp; AL2</f>
        <v xml:space="preserve">Gruppe: </v>
      </c>
      <c r="AL10" s="101"/>
      <c r="AM10" s="93"/>
      <c r="AN10" s="85" t="str">
        <f t="shared" ref="AN10" si="23">"Gruppe: " &amp; AO2</f>
        <v xml:space="preserve">Gruppe: </v>
      </c>
      <c r="AO10" s="101"/>
      <c r="AP10" s="93"/>
    </row>
    <row r="11" spans="1:42" s="17" customFormat="1" ht="65" customHeight="1" x14ac:dyDescent="0.2">
      <c r="A11" s="18" t="s">
        <v>27</v>
      </c>
      <c r="B11" s="49" t="s">
        <v>150</v>
      </c>
      <c r="C11" s="18"/>
      <c r="D11" s="78" t="s">
        <v>229</v>
      </c>
      <c r="E11" s="192"/>
      <c r="F11" s="193"/>
      <c r="G11" s="86" t="s">
        <v>229</v>
      </c>
      <c r="H11" s="190"/>
      <c r="I11" s="191"/>
      <c r="J11" s="86" t="s">
        <v>229</v>
      </c>
      <c r="K11" s="178"/>
      <c r="L11" s="179"/>
      <c r="M11" s="86" t="s">
        <v>229</v>
      </c>
      <c r="N11" s="178" t="s">
        <v>230</v>
      </c>
      <c r="O11" s="179"/>
      <c r="P11" s="86" t="s">
        <v>229</v>
      </c>
      <c r="Q11" s="178" t="s">
        <v>232</v>
      </c>
      <c r="R11" s="179"/>
      <c r="S11" s="86" t="s">
        <v>229</v>
      </c>
      <c r="T11" s="178"/>
      <c r="U11" s="179"/>
      <c r="V11" s="86" t="s">
        <v>229</v>
      </c>
      <c r="W11" s="178"/>
      <c r="X11" s="179"/>
      <c r="Y11" s="86" t="s">
        <v>229</v>
      </c>
      <c r="Z11" s="178" t="s">
        <v>231</v>
      </c>
      <c r="AA11" s="179"/>
      <c r="AB11" s="86" t="s">
        <v>229</v>
      </c>
      <c r="AC11" s="178"/>
      <c r="AD11" s="179"/>
      <c r="AE11" s="86" t="s">
        <v>229</v>
      </c>
      <c r="AF11" s="178"/>
      <c r="AG11" s="179"/>
      <c r="AH11" s="86" t="s">
        <v>229</v>
      </c>
      <c r="AI11" s="178"/>
      <c r="AJ11" s="179"/>
      <c r="AK11" s="86" t="s">
        <v>229</v>
      </c>
      <c r="AL11" s="178"/>
      <c r="AM11" s="179"/>
      <c r="AN11" s="86" t="s">
        <v>229</v>
      </c>
      <c r="AO11" s="178"/>
      <c r="AP11" s="179"/>
    </row>
    <row r="12" spans="1:42" s="21" customFormat="1" ht="17" x14ac:dyDescent="0.2">
      <c r="A12" s="20"/>
      <c r="B12" s="27" t="s">
        <v>30</v>
      </c>
      <c r="C12" s="19" t="s">
        <v>3</v>
      </c>
      <c r="D12" s="38" t="s">
        <v>6</v>
      </c>
      <c r="E12" s="102" t="s">
        <v>7</v>
      </c>
      <c r="F12" s="94"/>
      <c r="G12" s="21" t="str">
        <f>D12</f>
        <v>Bewertung</v>
      </c>
      <c r="H12" s="125" t="str">
        <f>E12</f>
        <v>Kommentar</v>
      </c>
      <c r="I12" s="126"/>
      <c r="J12" s="21" t="str">
        <f>G12</f>
        <v>Bewertung</v>
      </c>
      <c r="K12" s="116" t="str">
        <f>H12</f>
        <v>Kommentar</v>
      </c>
      <c r="L12" s="117"/>
      <c r="M12" s="106" t="str">
        <f>J12</f>
        <v>Bewertung</v>
      </c>
      <c r="N12" s="110" t="str">
        <f>K12</f>
        <v>Kommentar</v>
      </c>
      <c r="O12" s="111"/>
      <c r="P12" s="106" t="str">
        <f>M12</f>
        <v>Bewertung</v>
      </c>
      <c r="Q12" s="110" t="str">
        <f>N12</f>
        <v>Kommentar</v>
      </c>
      <c r="R12" s="111"/>
      <c r="S12" s="106" t="str">
        <f>P12</f>
        <v>Bewertung</v>
      </c>
      <c r="T12" s="110" t="str">
        <f>Q12</f>
        <v>Kommentar</v>
      </c>
      <c r="U12" s="111"/>
      <c r="V12" s="106" t="str">
        <f>S12</f>
        <v>Bewertung</v>
      </c>
      <c r="W12" s="116" t="str">
        <f>T12</f>
        <v>Kommentar</v>
      </c>
      <c r="X12" s="117"/>
      <c r="Y12" s="106" t="str">
        <f>V12</f>
        <v>Bewertung</v>
      </c>
      <c r="Z12" s="116" t="str">
        <f>W12</f>
        <v>Kommentar</v>
      </c>
      <c r="AA12" s="117"/>
      <c r="AB12" s="106" t="str">
        <f>Y12</f>
        <v>Bewertung</v>
      </c>
      <c r="AC12" s="116" t="str">
        <f>Z12</f>
        <v>Kommentar</v>
      </c>
      <c r="AD12" s="117"/>
      <c r="AE12" s="106" t="str">
        <f>AB12</f>
        <v>Bewertung</v>
      </c>
      <c r="AF12" s="116" t="str">
        <f>AC12</f>
        <v>Kommentar</v>
      </c>
      <c r="AG12" s="117"/>
      <c r="AH12" s="106" t="str">
        <f>AE12</f>
        <v>Bewertung</v>
      </c>
      <c r="AI12" s="116" t="str">
        <f>AF12</f>
        <v>Kommentar</v>
      </c>
      <c r="AJ12" s="117"/>
      <c r="AK12" s="106" t="str">
        <f>AH12</f>
        <v>Bewertung</v>
      </c>
      <c r="AL12" s="116" t="str">
        <f>AI12</f>
        <v>Kommentar</v>
      </c>
      <c r="AM12" s="117"/>
      <c r="AN12" s="106" t="str">
        <f>AK12</f>
        <v>Bewertung</v>
      </c>
      <c r="AO12" s="116" t="str">
        <f>AL12</f>
        <v>Kommentar</v>
      </c>
      <c r="AP12" s="117"/>
    </row>
    <row r="13" spans="1:42" ht="68" customHeight="1" x14ac:dyDescent="0.2">
      <c r="A13" s="5" t="s">
        <v>0</v>
      </c>
      <c r="B13" s="28"/>
      <c r="C13" s="6">
        <v>1</v>
      </c>
      <c r="D13" s="202">
        <v>0.5</v>
      </c>
      <c r="E13" s="203" t="s">
        <v>157</v>
      </c>
      <c r="F13" s="203"/>
      <c r="G13" s="205">
        <v>0.6</v>
      </c>
      <c r="H13" s="212" t="s">
        <v>92</v>
      </c>
      <c r="I13" s="212"/>
      <c r="J13" s="205">
        <v>0.2</v>
      </c>
      <c r="K13" s="213" t="s">
        <v>158</v>
      </c>
      <c r="L13" s="213"/>
      <c r="M13" s="205">
        <v>0.2</v>
      </c>
      <c r="N13" s="213" t="s">
        <v>159</v>
      </c>
      <c r="O13" s="213"/>
      <c r="P13" s="205">
        <v>0.8</v>
      </c>
      <c r="Q13" s="213" t="s">
        <v>160</v>
      </c>
      <c r="R13" s="213"/>
      <c r="S13" s="205">
        <v>0.6</v>
      </c>
      <c r="T13" s="213" t="s">
        <v>100</v>
      </c>
      <c r="U13" s="213"/>
      <c r="V13" s="205">
        <v>0.3</v>
      </c>
      <c r="W13" s="213" t="s">
        <v>101</v>
      </c>
      <c r="X13" s="213"/>
      <c r="Y13" s="205">
        <v>0.1</v>
      </c>
      <c r="Z13" s="213" t="s">
        <v>161</v>
      </c>
      <c r="AA13" s="213"/>
      <c r="AB13" s="205">
        <v>0.4</v>
      </c>
      <c r="AC13" s="213" t="s">
        <v>162</v>
      </c>
      <c r="AD13" s="213"/>
      <c r="AE13" s="205"/>
      <c r="AF13" s="213"/>
      <c r="AG13" s="213"/>
      <c r="AH13" s="205"/>
      <c r="AI13" s="213"/>
      <c r="AJ13" s="213"/>
      <c r="AK13" s="205"/>
      <c r="AL13" s="213"/>
      <c r="AM13" s="213"/>
      <c r="AN13" s="205"/>
      <c r="AO13" s="213"/>
      <c r="AP13" s="213"/>
    </row>
    <row r="14" spans="1:42" ht="68" customHeight="1" x14ac:dyDescent="0.2">
      <c r="A14" s="5" t="s">
        <v>1</v>
      </c>
      <c r="B14" s="28"/>
      <c r="C14" s="6">
        <v>0.5</v>
      </c>
      <c r="D14" s="202">
        <v>0.2</v>
      </c>
      <c r="E14" s="204" t="s">
        <v>114</v>
      </c>
      <c r="F14" s="204"/>
      <c r="G14" s="205">
        <v>0.2</v>
      </c>
      <c r="H14" s="212" t="s">
        <v>91</v>
      </c>
      <c r="I14" s="212"/>
      <c r="J14" s="205">
        <v>0.2</v>
      </c>
      <c r="K14" s="213" t="s">
        <v>95</v>
      </c>
      <c r="L14" s="213"/>
      <c r="M14" s="205">
        <v>0.1</v>
      </c>
      <c r="N14" s="213" t="s">
        <v>98</v>
      </c>
      <c r="O14" s="213"/>
      <c r="P14" s="205">
        <v>0.1</v>
      </c>
      <c r="Q14" s="213" t="s">
        <v>163</v>
      </c>
      <c r="R14" s="213"/>
      <c r="S14" s="205">
        <v>0.3</v>
      </c>
      <c r="T14" s="213" t="s">
        <v>164</v>
      </c>
      <c r="U14" s="213"/>
      <c r="V14" s="205">
        <v>0.2</v>
      </c>
      <c r="W14" s="213" t="s">
        <v>165</v>
      </c>
      <c r="X14" s="213"/>
      <c r="Y14" s="205">
        <v>0.1</v>
      </c>
      <c r="Z14" s="213" t="s">
        <v>166</v>
      </c>
      <c r="AA14" s="213"/>
      <c r="AB14" s="205">
        <v>0.3</v>
      </c>
      <c r="AC14" s="213" t="s">
        <v>167</v>
      </c>
      <c r="AD14" s="213"/>
      <c r="AE14" s="205"/>
      <c r="AF14" s="213"/>
      <c r="AG14" s="213"/>
      <c r="AH14" s="205"/>
      <c r="AI14" s="213"/>
      <c r="AJ14" s="213"/>
      <c r="AK14" s="205"/>
      <c r="AL14" s="213"/>
      <c r="AM14" s="213"/>
      <c r="AN14" s="205"/>
      <c r="AO14" s="213"/>
      <c r="AP14" s="213"/>
    </row>
    <row r="15" spans="1:42" ht="68" customHeight="1" x14ac:dyDescent="0.2">
      <c r="A15" s="5" t="s">
        <v>4</v>
      </c>
      <c r="B15" s="28"/>
      <c r="C15" s="6">
        <v>0.5</v>
      </c>
      <c r="D15" s="202">
        <v>0.3</v>
      </c>
      <c r="E15" s="204" t="s">
        <v>319</v>
      </c>
      <c r="F15" s="204"/>
      <c r="G15" s="205">
        <v>0.2</v>
      </c>
      <c r="H15" s="212" t="s">
        <v>168</v>
      </c>
      <c r="I15" s="212"/>
      <c r="J15" s="205">
        <v>0.4</v>
      </c>
      <c r="K15" s="213" t="s">
        <v>169</v>
      </c>
      <c r="L15" s="213"/>
      <c r="M15" s="205">
        <v>0.4</v>
      </c>
      <c r="N15" s="213" t="s">
        <v>96</v>
      </c>
      <c r="O15" s="213"/>
      <c r="P15" s="205">
        <v>0.2</v>
      </c>
      <c r="Q15" s="213" t="s">
        <v>170</v>
      </c>
      <c r="R15" s="213"/>
      <c r="S15" s="205">
        <v>0.2</v>
      </c>
      <c r="T15" s="213" t="s">
        <v>171</v>
      </c>
      <c r="U15" s="213"/>
      <c r="V15" s="205">
        <v>0.2</v>
      </c>
      <c r="W15" s="213" t="s">
        <v>172</v>
      </c>
      <c r="X15" s="213"/>
      <c r="Y15" s="205">
        <v>0.2</v>
      </c>
      <c r="Z15" s="213" t="s">
        <v>173</v>
      </c>
      <c r="AA15" s="213"/>
      <c r="AB15" s="205">
        <v>0.3</v>
      </c>
      <c r="AC15" s="213" t="s">
        <v>174</v>
      </c>
      <c r="AD15" s="213"/>
      <c r="AE15" s="205"/>
      <c r="AF15" s="213"/>
      <c r="AG15" s="213"/>
      <c r="AH15" s="205"/>
      <c r="AI15" s="213"/>
      <c r="AJ15" s="213"/>
      <c r="AK15" s="205"/>
      <c r="AL15" s="213"/>
      <c r="AM15" s="213"/>
      <c r="AN15" s="205"/>
      <c r="AO15" s="213"/>
      <c r="AP15" s="213"/>
    </row>
    <row r="16" spans="1:42" ht="45" customHeight="1" x14ac:dyDescent="0.2">
      <c r="A16" s="7" t="s">
        <v>2</v>
      </c>
      <c r="B16" s="42" t="s">
        <v>87</v>
      </c>
      <c r="C16" s="6">
        <f>SUM(C13:C15)</f>
        <v>2</v>
      </c>
      <c r="D16" s="206">
        <f>SUM(D13:D15)</f>
        <v>1</v>
      </c>
      <c r="E16" s="204" t="s">
        <v>175</v>
      </c>
      <c r="F16" s="204"/>
      <c r="G16" s="206">
        <f>SUM(G13:G15)</f>
        <v>1</v>
      </c>
      <c r="H16" s="212" t="s">
        <v>94</v>
      </c>
      <c r="I16" s="212"/>
      <c r="J16" s="206">
        <f>SUM(J13:J15)</f>
        <v>0.8</v>
      </c>
      <c r="K16" s="213" t="s">
        <v>176</v>
      </c>
      <c r="L16" s="213"/>
      <c r="M16" s="206">
        <f>SUM(M13:M15)</f>
        <v>0.70000000000000007</v>
      </c>
      <c r="N16" s="214" t="s">
        <v>177</v>
      </c>
      <c r="O16" s="214"/>
      <c r="P16" s="206">
        <f>SUM(P13:P15)</f>
        <v>1.1000000000000001</v>
      </c>
      <c r="Q16" s="214" t="s">
        <v>178</v>
      </c>
      <c r="R16" s="214"/>
      <c r="S16" s="206">
        <f>SUM(S13:S15)</f>
        <v>1.0999999999999999</v>
      </c>
      <c r="T16" s="213" t="s">
        <v>179</v>
      </c>
      <c r="U16" s="213"/>
      <c r="V16" s="206">
        <f>SUM(V13:V15)</f>
        <v>0.7</v>
      </c>
      <c r="W16" s="213" t="s">
        <v>180</v>
      </c>
      <c r="X16" s="213"/>
      <c r="Y16" s="206">
        <f>SUM(Y13:Y15)</f>
        <v>0.4</v>
      </c>
      <c r="Z16" s="213" t="s">
        <v>181</v>
      </c>
      <c r="AA16" s="213"/>
      <c r="AB16" s="206">
        <f>SUM(AB13:AB15)</f>
        <v>1</v>
      </c>
      <c r="AC16" s="213" t="s">
        <v>182</v>
      </c>
      <c r="AD16" s="213"/>
      <c r="AE16" s="206">
        <f>SUM(AE13:AE15)</f>
        <v>0</v>
      </c>
      <c r="AF16" s="213"/>
      <c r="AG16" s="213"/>
      <c r="AH16" s="206">
        <f>SUM(AH13:AH15)</f>
        <v>0</v>
      </c>
      <c r="AI16" s="213"/>
      <c r="AJ16" s="213"/>
      <c r="AK16" s="206">
        <f>SUM(AK13:AK15)</f>
        <v>0</v>
      </c>
      <c r="AL16" s="213"/>
      <c r="AM16" s="213"/>
      <c r="AN16" s="206">
        <f>SUM(AN13:AN15)</f>
        <v>0</v>
      </c>
      <c r="AO16" s="213"/>
      <c r="AP16" s="213"/>
    </row>
    <row r="17" spans="1:42" s="47" customFormat="1" ht="17" x14ac:dyDescent="0.2">
      <c r="A17" s="43" t="s">
        <v>11</v>
      </c>
      <c r="B17" s="44"/>
      <c r="C17" s="45"/>
      <c r="D17" s="46" t="str">
        <f>"Gruppe: " &amp; E2</f>
        <v>Gruppe: Statistics Gals</v>
      </c>
      <c r="E17" s="101"/>
      <c r="F17" s="93"/>
      <c r="G17" s="85" t="str">
        <f t="shared" ref="G17" si="24">"Gruppe: " &amp; H2</f>
        <v>Gruppe: Statistik DASJ</v>
      </c>
      <c r="H17" s="124"/>
      <c r="I17" s="121"/>
      <c r="J17" s="85" t="str">
        <f t="shared" ref="J17" si="25">"Gruppe: " &amp; K2</f>
        <v>Gruppe: Kreativität = 0</v>
      </c>
      <c r="K17" s="101"/>
      <c r="L17" s="93"/>
      <c r="M17" s="85" t="str">
        <f t="shared" ref="M17" si="26">"Gruppe: " &amp; N2</f>
        <v>Gruppe: Teamtastik</v>
      </c>
      <c r="N17" s="87"/>
      <c r="O17" s="88"/>
      <c r="P17" s="85" t="str">
        <f t="shared" ref="P17" si="27">"Gruppe: " &amp; Q2</f>
        <v>Gruppe: Die Datenanalytiker</v>
      </c>
      <c r="Q17" s="87"/>
      <c r="R17" s="88"/>
      <c r="S17" s="85" t="str">
        <f t="shared" ref="S17" si="28">"Gruppe: " &amp; T2</f>
        <v>Gruppe: Die Schalker</v>
      </c>
      <c r="T17" s="87"/>
      <c r="U17" s="88"/>
      <c r="V17" s="85" t="str">
        <f t="shared" ref="V17" si="29">"Gruppe: " &amp; W2</f>
        <v>Gruppe: JAMT</v>
      </c>
      <c r="W17" s="101"/>
      <c r="X17" s="93"/>
      <c r="Y17" s="85" t="str">
        <f t="shared" ref="Y17" si="30">"Gruppe: " &amp; Z2</f>
        <v>Gruppe: Crystal Math</v>
      </c>
      <c r="Z17" s="101"/>
      <c r="AA17" s="93"/>
      <c r="AB17" s="85" t="str">
        <f t="shared" ref="AB17" si="31">"Gruppe: " &amp; AC2</f>
        <v>Gruppe: Mineralwasser 3</v>
      </c>
      <c r="AC17" s="101"/>
      <c r="AD17" s="93"/>
      <c r="AE17" s="85" t="str">
        <f t="shared" ref="AE17" si="32">"Gruppe: " &amp; AF2</f>
        <v xml:space="preserve">Gruppe: </v>
      </c>
      <c r="AF17" s="132"/>
      <c r="AG17" s="133"/>
      <c r="AH17" s="85" t="str">
        <f t="shared" ref="AH17" si="33">"Gruppe: " &amp; AI2</f>
        <v xml:space="preserve">Gruppe: </v>
      </c>
      <c r="AI17" s="132"/>
      <c r="AJ17" s="133"/>
      <c r="AK17" s="85" t="str">
        <f t="shared" ref="AK17" si="34">"Gruppe: " &amp; AL2</f>
        <v xml:space="preserve">Gruppe: </v>
      </c>
      <c r="AL17" s="132"/>
      <c r="AM17" s="133"/>
      <c r="AN17" s="85" t="str">
        <f t="shared" ref="AN17" si="35">"Gruppe: " &amp; AO2</f>
        <v xml:space="preserve">Gruppe: </v>
      </c>
      <c r="AO17" s="132"/>
      <c r="AP17" s="133"/>
    </row>
    <row r="18" spans="1:42" s="9" customFormat="1" ht="65" customHeight="1" x14ac:dyDescent="0.2">
      <c r="A18" s="22" t="s">
        <v>28</v>
      </c>
      <c r="B18" s="50" t="s">
        <v>118</v>
      </c>
      <c r="C18" s="22"/>
      <c r="D18" s="40"/>
      <c r="E18" s="103"/>
      <c r="F18" s="95"/>
      <c r="H18" s="127"/>
      <c r="I18" s="128"/>
      <c r="K18" s="118"/>
      <c r="L18" s="119"/>
      <c r="M18" s="107"/>
      <c r="N18" s="112"/>
      <c r="O18" s="113"/>
      <c r="P18" s="107"/>
      <c r="Q18" s="112"/>
      <c r="R18" s="113"/>
      <c r="S18" s="107"/>
      <c r="T18" s="112"/>
      <c r="U18" s="113"/>
      <c r="V18" s="107"/>
      <c r="W18" s="118"/>
      <c r="X18" s="119"/>
      <c r="Y18" s="107"/>
      <c r="Z18" s="118"/>
      <c r="AA18" s="119"/>
      <c r="AB18" s="107"/>
      <c r="AC18" s="118"/>
      <c r="AD18" s="119"/>
      <c r="AE18" s="107"/>
      <c r="AF18" s="118"/>
      <c r="AG18" s="119"/>
      <c r="AH18" s="107"/>
      <c r="AI18" s="118"/>
      <c r="AJ18" s="119"/>
      <c r="AK18" s="107"/>
      <c r="AL18" s="118"/>
      <c r="AM18" s="119"/>
      <c r="AN18" s="107"/>
      <c r="AO18" s="118"/>
      <c r="AP18" s="119"/>
    </row>
    <row r="19" spans="1:42" s="21" customFormat="1" x14ac:dyDescent="0.2">
      <c r="A19" s="20"/>
      <c r="B19" s="24" t="str">
        <f>B12</f>
        <v>Fokus &amp; Korrekturhinweise</v>
      </c>
      <c r="C19" s="19" t="str">
        <f>C12</f>
        <v>Punkte</v>
      </c>
      <c r="D19" s="38" t="str">
        <f>D12</f>
        <v>Bewertung</v>
      </c>
      <c r="E19" s="102" t="str">
        <f>E12</f>
        <v>Kommentar</v>
      </c>
      <c r="F19" s="94"/>
      <c r="G19" s="21" t="str">
        <f>D19</f>
        <v>Bewertung</v>
      </c>
      <c r="H19" s="125" t="str">
        <f>E19</f>
        <v>Kommentar</v>
      </c>
      <c r="I19" s="126"/>
      <c r="J19" s="21" t="str">
        <f>G19</f>
        <v>Bewertung</v>
      </c>
      <c r="K19" s="116" t="str">
        <f>H19</f>
        <v>Kommentar</v>
      </c>
      <c r="L19" s="117"/>
      <c r="M19" s="106" t="str">
        <f>J19</f>
        <v>Bewertung</v>
      </c>
      <c r="N19" s="110" t="str">
        <f>K19</f>
        <v>Kommentar</v>
      </c>
      <c r="O19" s="111"/>
      <c r="P19" s="106" t="str">
        <f>M19</f>
        <v>Bewertung</v>
      </c>
      <c r="Q19" s="110" t="str">
        <f>N19</f>
        <v>Kommentar</v>
      </c>
      <c r="R19" s="111"/>
      <c r="S19" s="106" t="str">
        <f>P19</f>
        <v>Bewertung</v>
      </c>
      <c r="T19" s="110" t="str">
        <f>Q19</f>
        <v>Kommentar</v>
      </c>
      <c r="U19" s="111"/>
      <c r="V19" s="106" t="str">
        <f>S19</f>
        <v>Bewertung</v>
      </c>
      <c r="W19" s="116" t="str">
        <f>T19</f>
        <v>Kommentar</v>
      </c>
      <c r="X19" s="117"/>
      <c r="Y19" s="106" t="str">
        <f>V19</f>
        <v>Bewertung</v>
      </c>
      <c r="Z19" s="116" t="str">
        <f>W19</f>
        <v>Kommentar</v>
      </c>
      <c r="AA19" s="117"/>
      <c r="AB19" s="106" t="str">
        <f>Y19</f>
        <v>Bewertung</v>
      </c>
      <c r="AC19" s="116" t="str">
        <f>Z19</f>
        <v>Kommentar</v>
      </c>
      <c r="AD19" s="117"/>
      <c r="AE19" s="106" t="str">
        <f>AB19</f>
        <v>Bewertung</v>
      </c>
      <c r="AF19" s="116" t="str">
        <f>AC19</f>
        <v>Kommentar</v>
      </c>
      <c r="AG19" s="117"/>
      <c r="AH19" s="106" t="str">
        <f>AE19</f>
        <v>Bewertung</v>
      </c>
      <c r="AI19" s="116" t="str">
        <f>AF19</f>
        <v>Kommentar</v>
      </c>
      <c r="AJ19" s="117"/>
      <c r="AK19" s="106" t="str">
        <f>AH19</f>
        <v>Bewertung</v>
      </c>
      <c r="AL19" s="116" t="str">
        <f>AI19</f>
        <v>Kommentar</v>
      </c>
      <c r="AM19" s="117"/>
      <c r="AN19" s="106" t="str">
        <f>AK19</f>
        <v>Bewertung</v>
      </c>
      <c r="AO19" s="116" t="str">
        <f>AL19</f>
        <v>Kommentar</v>
      </c>
      <c r="AP19" s="117"/>
    </row>
    <row r="20" spans="1:42" ht="67" customHeight="1" x14ac:dyDescent="0.2">
      <c r="A20" s="1" t="s">
        <v>116</v>
      </c>
      <c r="C20" s="2">
        <v>2</v>
      </c>
      <c r="D20" s="202">
        <v>1</v>
      </c>
      <c r="E20" s="204" t="s">
        <v>183</v>
      </c>
      <c r="F20" s="204"/>
      <c r="G20" s="205">
        <v>1</v>
      </c>
      <c r="H20" s="212" t="s">
        <v>296</v>
      </c>
      <c r="I20" s="212"/>
      <c r="J20" s="205">
        <v>2</v>
      </c>
      <c r="K20" s="213" t="s">
        <v>184</v>
      </c>
      <c r="L20" s="213"/>
      <c r="M20" s="205">
        <v>0.25</v>
      </c>
      <c r="N20" s="213" t="s">
        <v>134</v>
      </c>
      <c r="O20" s="213"/>
      <c r="P20" s="205">
        <v>0</v>
      </c>
      <c r="Q20" s="213" t="s">
        <v>185</v>
      </c>
      <c r="R20" s="213"/>
      <c r="S20" s="205">
        <v>1</v>
      </c>
      <c r="T20" s="213" t="s">
        <v>120</v>
      </c>
      <c r="U20" s="213"/>
      <c r="V20" s="205">
        <v>1</v>
      </c>
      <c r="W20" s="213" t="s">
        <v>186</v>
      </c>
      <c r="X20" s="213"/>
      <c r="Y20" s="205">
        <v>1</v>
      </c>
      <c r="Z20" s="213" t="s">
        <v>187</v>
      </c>
      <c r="AA20" s="213"/>
      <c r="AB20" s="205">
        <v>1.5</v>
      </c>
      <c r="AC20" s="213" t="s">
        <v>188</v>
      </c>
      <c r="AD20" s="213"/>
      <c r="AE20" s="215"/>
      <c r="AF20" s="216"/>
      <c r="AG20" s="216"/>
      <c r="AH20" s="215"/>
      <c r="AI20" s="216"/>
      <c r="AJ20" s="216"/>
      <c r="AK20" s="215"/>
      <c r="AL20" s="216"/>
      <c r="AM20" s="216"/>
      <c r="AN20" s="215"/>
      <c r="AO20" s="216"/>
      <c r="AP20" s="216"/>
    </row>
    <row r="21" spans="1:42" ht="52" customHeight="1" x14ac:dyDescent="0.2">
      <c r="A21" s="1" t="s">
        <v>97</v>
      </c>
      <c r="C21" s="2">
        <v>1</v>
      </c>
      <c r="D21" s="202">
        <v>0.5</v>
      </c>
      <c r="E21" s="204" t="s">
        <v>189</v>
      </c>
      <c r="F21" s="204"/>
      <c r="G21" s="205">
        <v>0</v>
      </c>
      <c r="H21" s="212" t="s">
        <v>135</v>
      </c>
      <c r="I21" s="212"/>
      <c r="J21" s="205">
        <v>1</v>
      </c>
      <c r="K21" s="213" t="s">
        <v>127</v>
      </c>
      <c r="L21" s="213"/>
      <c r="M21" s="205">
        <v>0</v>
      </c>
      <c r="N21" s="213" t="s">
        <v>190</v>
      </c>
      <c r="O21" s="213"/>
      <c r="P21" s="205">
        <v>0</v>
      </c>
      <c r="Q21" s="213" t="s">
        <v>191</v>
      </c>
      <c r="R21" s="213"/>
      <c r="S21" s="205">
        <v>1</v>
      </c>
      <c r="T21" s="213" t="s">
        <v>192</v>
      </c>
      <c r="U21" s="213"/>
      <c r="V21" s="205">
        <v>0</v>
      </c>
      <c r="W21" s="213" t="s">
        <v>122</v>
      </c>
      <c r="X21" s="213"/>
      <c r="Y21" s="205">
        <v>0.5</v>
      </c>
      <c r="Z21" s="213" t="s">
        <v>193</v>
      </c>
      <c r="AA21" s="213"/>
      <c r="AB21" s="205">
        <v>0.5</v>
      </c>
      <c r="AC21" s="213" t="s">
        <v>128</v>
      </c>
      <c r="AD21" s="213"/>
      <c r="AE21" s="215"/>
      <c r="AF21" s="216"/>
      <c r="AG21" s="216"/>
      <c r="AH21" s="215"/>
      <c r="AI21" s="216"/>
      <c r="AJ21" s="216"/>
      <c r="AK21" s="215"/>
      <c r="AL21" s="216"/>
      <c r="AM21" s="216"/>
      <c r="AN21" s="215"/>
      <c r="AO21" s="216"/>
      <c r="AP21" s="216"/>
    </row>
    <row r="22" spans="1:42" ht="67" customHeight="1" x14ac:dyDescent="0.2">
      <c r="A22" s="1" t="s">
        <v>8</v>
      </c>
      <c r="C22" s="2">
        <v>1</v>
      </c>
      <c r="D22" s="202">
        <v>0</v>
      </c>
      <c r="E22" s="204" t="s">
        <v>194</v>
      </c>
      <c r="F22" s="204"/>
      <c r="G22" s="205">
        <v>0</v>
      </c>
      <c r="H22" s="212" t="s">
        <v>136</v>
      </c>
      <c r="I22" s="212"/>
      <c r="J22" s="205">
        <v>0.5</v>
      </c>
      <c r="K22" s="213" t="s">
        <v>126</v>
      </c>
      <c r="L22" s="213"/>
      <c r="M22" s="205">
        <v>0</v>
      </c>
      <c r="N22" s="213" t="s">
        <v>190</v>
      </c>
      <c r="O22" s="213"/>
      <c r="P22" s="205">
        <v>0</v>
      </c>
      <c r="Q22" s="213" t="s">
        <v>119</v>
      </c>
      <c r="R22" s="213"/>
      <c r="S22" s="205">
        <v>0</v>
      </c>
      <c r="T22" s="213" t="s">
        <v>121</v>
      </c>
      <c r="U22" s="213"/>
      <c r="V22" s="205">
        <v>0</v>
      </c>
      <c r="W22" s="213" t="s">
        <v>195</v>
      </c>
      <c r="X22" s="213"/>
      <c r="Y22" s="205">
        <v>0.25</v>
      </c>
      <c r="Z22" s="213" t="s">
        <v>196</v>
      </c>
      <c r="AA22" s="213"/>
      <c r="AB22" s="205">
        <v>0.5</v>
      </c>
      <c r="AC22" s="213" t="s">
        <v>129</v>
      </c>
      <c r="AD22" s="213"/>
      <c r="AE22" s="215"/>
      <c r="AF22" s="216"/>
      <c r="AG22" s="216"/>
      <c r="AH22" s="215"/>
      <c r="AI22" s="216"/>
      <c r="AJ22" s="216"/>
      <c r="AK22" s="215"/>
      <c r="AL22" s="216"/>
      <c r="AM22" s="216"/>
      <c r="AN22" s="215"/>
      <c r="AO22" s="216"/>
      <c r="AP22" s="216"/>
    </row>
    <row r="23" spans="1:42" ht="81" customHeight="1" x14ac:dyDescent="0.2">
      <c r="A23" s="1" t="s">
        <v>197</v>
      </c>
      <c r="C23" s="2">
        <v>1</v>
      </c>
      <c r="D23" s="202">
        <v>0.25</v>
      </c>
      <c r="E23" s="204" t="s">
        <v>198</v>
      </c>
      <c r="F23" s="204"/>
      <c r="G23" s="205">
        <v>0.25</v>
      </c>
      <c r="H23" s="212" t="s">
        <v>199</v>
      </c>
      <c r="I23" s="212"/>
      <c r="J23" s="205">
        <v>0.5</v>
      </c>
      <c r="K23" s="213" t="s">
        <v>123</v>
      </c>
      <c r="L23" s="213"/>
      <c r="M23" s="205">
        <v>0</v>
      </c>
      <c r="N23" s="213" t="s">
        <v>130</v>
      </c>
      <c r="O23" s="213"/>
      <c r="P23" s="205">
        <v>0.5</v>
      </c>
      <c r="Q23" s="213" t="s">
        <v>200</v>
      </c>
      <c r="R23" s="213"/>
      <c r="S23" s="205">
        <v>1</v>
      </c>
      <c r="T23" s="213" t="s">
        <v>201</v>
      </c>
      <c r="U23" s="213"/>
      <c r="V23" s="205">
        <v>0.5</v>
      </c>
      <c r="W23" s="213" t="s">
        <v>202</v>
      </c>
      <c r="X23" s="213"/>
      <c r="Y23" s="205">
        <v>0.25</v>
      </c>
      <c r="Z23" s="213" t="s">
        <v>203</v>
      </c>
      <c r="AA23" s="213"/>
      <c r="AB23" s="205">
        <v>1.5</v>
      </c>
      <c r="AC23" s="213" t="s">
        <v>204</v>
      </c>
      <c r="AD23" s="213"/>
      <c r="AE23" s="215"/>
      <c r="AF23" s="216"/>
      <c r="AG23" s="216"/>
      <c r="AH23" s="215"/>
      <c r="AI23" s="216"/>
      <c r="AJ23" s="216"/>
      <c r="AK23" s="215"/>
      <c r="AL23" s="216"/>
      <c r="AM23" s="216"/>
      <c r="AN23" s="215"/>
      <c r="AO23" s="216"/>
      <c r="AP23" s="216"/>
    </row>
    <row r="24" spans="1:42" ht="46" customHeight="1" x14ac:dyDescent="0.2">
      <c r="A24" s="1" t="s">
        <v>115</v>
      </c>
      <c r="C24" s="2">
        <v>2</v>
      </c>
      <c r="D24" s="202">
        <v>0.25</v>
      </c>
      <c r="E24" s="204" t="s">
        <v>205</v>
      </c>
      <c r="F24" s="204"/>
      <c r="G24" s="205">
        <v>0.25</v>
      </c>
      <c r="H24" s="212" t="s">
        <v>206</v>
      </c>
      <c r="I24" s="212"/>
      <c r="J24" s="205">
        <v>1.5</v>
      </c>
      <c r="K24" s="213" t="s">
        <v>207</v>
      </c>
      <c r="L24" s="213"/>
      <c r="M24" s="205">
        <v>0</v>
      </c>
      <c r="N24" s="213" t="s">
        <v>132</v>
      </c>
      <c r="O24" s="213"/>
      <c r="P24" s="205">
        <v>0.25</v>
      </c>
      <c r="Q24" s="213" t="s">
        <v>208</v>
      </c>
      <c r="R24" s="213"/>
      <c r="S24" s="205">
        <v>1.5</v>
      </c>
      <c r="T24" s="213" t="s">
        <v>209</v>
      </c>
      <c r="U24" s="213"/>
      <c r="V24" s="205">
        <v>0.5</v>
      </c>
      <c r="W24" s="213" t="s">
        <v>210</v>
      </c>
      <c r="X24" s="213"/>
      <c r="Y24" s="205">
        <v>0.25</v>
      </c>
      <c r="Z24" s="213" t="s">
        <v>211</v>
      </c>
      <c r="AA24" s="213"/>
      <c r="AB24" s="205">
        <v>0.5</v>
      </c>
      <c r="AC24" s="213" t="s">
        <v>212</v>
      </c>
      <c r="AD24" s="213"/>
      <c r="AE24" s="215"/>
      <c r="AF24" s="216"/>
      <c r="AG24" s="216"/>
      <c r="AH24" s="215"/>
      <c r="AI24" s="216"/>
      <c r="AJ24" s="216"/>
      <c r="AK24" s="215"/>
      <c r="AL24" s="216"/>
      <c r="AM24" s="216"/>
      <c r="AN24" s="215"/>
      <c r="AO24" s="216"/>
      <c r="AP24" s="216"/>
    </row>
    <row r="25" spans="1:42" ht="116" customHeight="1" x14ac:dyDescent="0.2">
      <c r="A25" s="1" t="s">
        <v>5</v>
      </c>
      <c r="C25" s="2">
        <v>1</v>
      </c>
      <c r="D25" s="202">
        <v>0.5</v>
      </c>
      <c r="E25" s="204" t="s">
        <v>213</v>
      </c>
      <c r="F25" s="204"/>
      <c r="G25" s="205">
        <v>0.5</v>
      </c>
      <c r="H25" s="212" t="s">
        <v>214</v>
      </c>
      <c r="I25" s="212"/>
      <c r="J25" s="205">
        <v>0.5</v>
      </c>
      <c r="K25" s="213" t="s">
        <v>215</v>
      </c>
      <c r="L25" s="213"/>
      <c r="M25" s="205">
        <v>0</v>
      </c>
      <c r="N25" s="213" t="s">
        <v>133</v>
      </c>
      <c r="O25" s="213"/>
      <c r="P25" s="205">
        <v>0.25</v>
      </c>
      <c r="Q25" s="213" t="s">
        <v>216</v>
      </c>
      <c r="R25" s="213"/>
      <c r="S25" s="205">
        <v>0.75</v>
      </c>
      <c r="T25" s="213" t="s">
        <v>217</v>
      </c>
      <c r="U25" s="213"/>
      <c r="V25" s="205">
        <v>0.5</v>
      </c>
      <c r="W25" s="213" t="s">
        <v>218</v>
      </c>
      <c r="X25" s="213"/>
      <c r="Y25" s="205">
        <v>0</v>
      </c>
      <c r="Z25" s="213" t="s">
        <v>219</v>
      </c>
      <c r="AA25" s="213"/>
      <c r="AB25" s="205">
        <v>1</v>
      </c>
      <c r="AC25" s="213" t="s">
        <v>220</v>
      </c>
      <c r="AD25" s="213"/>
      <c r="AE25" s="215"/>
      <c r="AF25" s="216"/>
      <c r="AG25" s="216"/>
      <c r="AH25" s="215"/>
      <c r="AI25" s="216"/>
      <c r="AJ25" s="216"/>
      <c r="AK25" s="215"/>
      <c r="AL25" s="216"/>
      <c r="AM25" s="216"/>
      <c r="AN25" s="215"/>
      <c r="AO25" s="216"/>
      <c r="AP25" s="216"/>
    </row>
    <row r="26" spans="1:42" ht="59" customHeight="1" x14ac:dyDescent="0.2">
      <c r="A26" s="8" t="s">
        <v>9</v>
      </c>
      <c r="B26" s="29" t="s">
        <v>86</v>
      </c>
      <c r="C26" s="6">
        <f>SUM(C20:C25)</f>
        <v>8</v>
      </c>
      <c r="D26" s="206">
        <f>SUM(D20:D25)</f>
        <v>2.5</v>
      </c>
      <c r="E26" s="204" t="s">
        <v>221</v>
      </c>
      <c r="F26" s="204"/>
      <c r="G26" s="206">
        <f>SUM(G20:G25)</f>
        <v>2</v>
      </c>
      <c r="H26" s="212" t="s">
        <v>222</v>
      </c>
      <c r="I26" s="212"/>
      <c r="J26" s="206">
        <f>SUM(J20:J25)</f>
        <v>6</v>
      </c>
      <c r="K26" s="213" t="s">
        <v>223</v>
      </c>
      <c r="L26" s="213"/>
      <c r="M26" s="206">
        <f>SUM(M20:M25)</f>
        <v>0.25</v>
      </c>
      <c r="N26" s="213" t="s">
        <v>131</v>
      </c>
      <c r="O26" s="213"/>
      <c r="P26" s="206">
        <f>SUM(P20:P25)</f>
        <v>1</v>
      </c>
      <c r="Q26" s="213" t="s">
        <v>224</v>
      </c>
      <c r="R26" s="213"/>
      <c r="S26" s="206">
        <f>SUM(S20:S25)</f>
        <v>5.25</v>
      </c>
      <c r="T26" s="213" t="s">
        <v>225</v>
      </c>
      <c r="U26" s="213"/>
      <c r="V26" s="206">
        <f>SUM(V20:V25)</f>
        <v>2.5</v>
      </c>
      <c r="W26" s="213" t="s">
        <v>226</v>
      </c>
      <c r="X26" s="213"/>
      <c r="Y26" s="206">
        <f>SUM(Y20:Y25)</f>
        <v>2.25</v>
      </c>
      <c r="Z26" s="213" t="s">
        <v>227</v>
      </c>
      <c r="AA26" s="213"/>
      <c r="AB26" s="206">
        <f>SUM(AB20:AB25)</f>
        <v>5.5</v>
      </c>
      <c r="AC26" s="213" t="s">
        <v>228</v>
      </c>
      <c r="AD26" s="213"/>
      <c r="AE26" s="206">
        <f>SUM(AE20:AE25)</f>
        <v>0</v>
      </c>
      <c r="AF26" s="216"/>
      <c r="AG26" s="216"/>
      <c r="AH26" s="206">
        <f>SUM(AH20:AH25)</f>
        <v>0</v>
      </c>
      <c r="AI26" s="216"/>
      <c r="AJ26" s="216"/>
      <c r="AK26" s="206">
        <f>SUM(AK20:AK25)</f>
        <v>0</v>
      </c>
      <c r="AL26" s="216"/>
      <c r="AM26" s="216"/>
      <c r="AN26" s="206">
        <f>SUM(AN20:AN25)</f>
        <v>0</v>
      </c>
      <c r="AO26" s="216"/>
      <c r="AP26" s="216"/>
    </row>
    <row r="27" spans="1:42" s="47" customFormat="1" ht="17" x14ac:dyDescent="0.2">
      <c r="A27" s="43" t="s">
        <v>12</v>
      </c>
      <c r="B27" s="44"/>
      <c r="C27" s="45"/>
      <c r="D27" s="46" t="str">
        <f>"Gruppe: " &amp; E2</f>
        <v>Gruppe: Statistics Gals</v>
      </c>
      <c r="E27" s="101"/>
      <c r="F27" s="93"/>
      <c r="G27" s="85" t="str">
        <f t="shared" ref="G27" si="36">"Gruppe: " &amp; H2</f>
        <v>Gruppe: Statistik DASJ</v>
      </c>
      <c r="H27" s="124"/>
      <c r="I27" s="121"/>
      <c r="J27" s="85" t="str">
        <f t="shared" ref="J27" si="37">"Gruppe: " &amp; K2</f>
        <v>Gruppe: Kreativität = 0</v>
      </c>
      <c r="K27" s="101"/>
      <c r="L27" s="93"/>
      <c r="M27" s="85" t="str">
        <f t="shared" ref="M27" si="38">"Gruppe: " &amp; N2</f>
        <v>Gruppe: Teamtastik</v>
      </c>
      <c r="N27" s="87"/>
      <c r="O27" s="88"/>
      <c r="P27" s="85" t="str">
        <f t="shared" ref="P27" si="39">"Gruppe: " &amp; Q2</f>
        <v>Gruppe: Die Datenanalytiker</v>
      </c>
      <c r="Q27" s="87"/>
      <c r="R27" s="88"/>
      <c r="S27" s="85" t="str">
        <f t="shared" ref="S27" si="40">"Gruppe: " &amp; T2</f>
        <v>Gruppe: Die Schalker</v>
      </c>
      <c r="T27" s="87"/>
      <c r="U27" s="88"/>
      <c r="V27" s="85" t="str">
        <f t="shared" ref="V27" si="41">"Gruppe: " &amp; W2</f>
        <v>Gruppe: JAMT</v>
      </c>
      <c r="W27" s="101"/>
      <c r="X27" s="93"/>
      <c r="Y27" s="85" t="str">
        <f t="shared" ref="Y27" si="42">"Gruppe: " &amp; Z2</f>
        <v>Gruppe: Crystal Math</v>
      </c>
      <c r="Z27" s="101"/>
      <c r="AA27" s="93"/>
      <c r="AB27" s="85" t="str">
        <f t="shared" ref="AB27" si="43">"Gruppe: " &amp; AC2</f>
        <v>Gruppe: Mineralwasser 3</v>
      </c>
      <c r="AC27" s="101"/>
      <c r="AD27" s="93"/>
      <c r="AE27" s="85" t="str">
        <f t="shared" ref="AE27" si="44">"Gruppe: " &amp; AF2</f>
        <v xml:space="preserve">Gruppe: </v>
      </c>
      <c r="AF27" s="101"/>
      <c r="AG27" s="93"/>
      <c r="AH27" s="85" t="str">
        <f t="shared" ref="AH27" si="45">"Gruppe: " &amp; AI2</f>
        <v xml:space="preserve">Gruppe: </v>
      </c>
      <c r="AI27" s="101"/>
      <c r="AJ27" s="93"/>
      <c r="AK27" s="85" t="str">
        <f t="shared" ref="AK27" si="46">"Gruppe: " &amp; AL2</f>
        <v xml:space="preserve">Gruppe: </v>
      </c>
      <c r="AL27" s="101"/>
      <c r="AM27" s="93"/>
      <c r="AN27" s="85" t="str">
        <f t="shared" ref="AN27" si="47">"Gruppe: " &amp; AO2</f>
        <v xml:space="preserve">Gruppe: </v>
      </c>
      <c r="AO27" s="101"/>
      <c r="AP27" s="93"/>
    </row>
    <row r="28" spans="1:42" ht="65" customHeight="1" x14ac:dyDescent="0.2">
      <c r="A28" s="8" t="s">
        <v>154</v>
      </c>
      <c r="B28" s="60" t="s">
        <v>153</v>
      </c>
      <c r="C28" s="8"/>
      <c r="D28" s="41"/>
      <c r="E28" s="104"/>
      <c r="F28" s="96"/>
      <c r="AI28" s="109"/>
      <c r="AJ28" s="80"/>
      <c r="AL28" s="109"/>
      <c r="AM28" s="80"/>
      <c r="AO28" s="109"/>
      <c r="AP28" s="80"/>
    </row>
    <row r="29" spans="1:42" s="21" customFormat="1" x14ac:dyDescent="0.2">
      <c r="A29" s="20"/>
      <c r="B29" s="24" t="str">
        <f>B12</f>
        <v>Fokus &amp; Korrekturhinweise</v>
      </c>
      <c r="C29" s="19" t="str">
        <f>C12</f>
        <v>Punkte</v>
      </c>
      <c r="D29" s="38" t="str">
        <f>D19</f>
        <v>Bewertung</v>
      </c>
      <c r="E29" s="102" t="str">
        <f>E19</f>
        <v>Kommentar</v>
      </c>
      <c r="F29" s="94"/>
      <c r="G29" s="21" t="str">
        <f>D29</f>
        <v>Bewertung</v>
      </c>
      <c r="H29" s="125" t="str">
        <f>E29</f>
        <v>Kommentar</v>
      </c>
      <c r="I29" s="126"/>
      <c r="J29" s="21" t="str">
        <f>G29</f>
        <v>Bewertung</v>
      </c>
      <c r="K29" s="116" t="str">
        <f>H29</f>
        <v>Kommentar</v>
      </c>
      <c r="L29" s="117"/>
      <c r="M29" s="106" t="str">
        <f>J29</f>
        <v>Bewertung</v>
      </c>
      <c r="N29" s="110" t="str">
        <f>K29</f>
        <v>Kommentar</v>
      </c>
      <c r="O29" s="111"/>
      <c r="P29" s="106" t="str">
        <f>M29</f>
        <v>Bewertung</v>
      </c>
      <c r="Q29" s="110" t="str">
        <f>N29</f>
        <v>Kommentar</v>
      </c>
      <c r="R29" s="111"/>
      <c r="S29" s="106" t="str">
        <f>P29</f>
        <v>Bewertung</v>
      </c>
      <c r="T29" s="110" t="str">
        <f>Q29</f>
        <v>Kommentar</v>
      </c>
      <c r="U29" s="111"/>
      <c r="V29" s="106" t="str">
        <f>S29</f>
        <v>Bewertung</v>
      </c>
      <c r="W29" s="116" t="str">
        <f>T29</f>
        <v>Kommentar</v>
      </c>
      <c r="X29" s="117"/>
      <c r="Y29" s="106" t="str">
        <f>V29</f>
        <v>Bewertung</v>
      </c>
      <c r="Z29" s="116" t="str">
        <f>W29</f>
        <v>Kommentar</v>
      </c>
      <c r="AA29" s="117"/>
      <c r="AB29" s="106" t="str">
        <f>Y29</f>
        <v>Bewertung</v>
      </c>
      <c r="AC29" s="116" t="str">
        <f>Z29</f>
        <v>Kommentar</v>
      </c>
      <c r="AD29" s="117"/>
      <c r="AE29" s="106" t="str">
        <f>AB29</f>
        <v>Bewertung</v>
      </c>
      <c r="AF29" s="116" t="str">
        <f>AC29</f>
        <v>Kommentar</v>
      </c>
      <c r="AG29" s="117"/>
      <c r="AH29" s="106" t="str">
        <f>AE29</f>
        <v>Bewertung</v>
      </c>
      <c r="AI29" s="116" t="str">
        <f>AF29</f>
        <v>Kommentar</v>
      </c>
      <c r="AJ29" s="117"/>
      <c r="AK29" s="106" t="str">
        <f>AH29</f>
        <v>Bewertung</v>
      </c>
      <c r="AL29" s="116" t="str">
        <f>AI29</f>
        <v>Kommentar</v>
      </c>
      <c r="AM29" s="117"/>
      <c r="AN29" s="106" t="str">
        <f>AK29</f>
        <v>Bewertung</v>
      </c>
      <c r="AO29" s="116" t="str">
        <f>AL29</f>
        <v>Kommentar</v>
      </c>
      <c r="AP29" s="117"/>
    </row>
    <row r="30" spans="1:42" ht="119" customHeight="1" x14ac:dyDescent="0.2">
      <c r="A30" s="1" t="s">
        <v>29</v>
      </c>
      <c r="B30" s="51"/>
      <c r="C30" s="2">
        <v>2</v>
      </c>
      <c r="D30" s="202">
        <v>1.5</v>
      </c>
      <c r="E30" s="204" t="s">
        <v>241</v>
      </c>
      <c r="F30" s="204"/>
      <c r="G30" s="205">
        <v>0.5</v>
      </c>
      <c r="H30" s="212" t="s">
        <v>252</v>
      </c>
      <c r="I30" s="212"/>
      <c r="J30" s="205">
        <v>1</v>
      </c>
      <c r="K30" s="213" t="s">
        <v>236</v>
      </c>
      <c r="L30" s="213"/>
      <c r="M30" s="205">
        <v>0</v>
      </c>
      <c r="N30" s="216" t="s">
        <v>292</v>
      </c>
      <c r="O30" s="216"/>
      <c r="P30" s="205">
        <v>0.5</v>
      </c>
      <c r="Q30" s="213" t="s">
        <v>255</v>
      </c>
      <c r="R30" s="213"/>
      <c r="S30" s="205">
        <v>1.5</v>
      </c>
      <c r="T30" s="213" t="s">
        <v>262</v>
      </c>
      <c r="U30" s="213"/>
      <c r="V30" s="205">
        <v>0.5</v>
      </c>
      <c r="W30" s="213" t="s">
        <v>270</v>
      </c>
      <c r="X30" s="213"/>
      <c r="Y30" s="205">
        <v>1.5</v>
      </c>
      <c r="Z30" s="213" t="s">
        <v>277</v>
      </c>
      <c r="AA30" s="213"/>
      <c r="AB30" s="205">
        <v>2</v>
      </c>
      <c r="AC30" s="213" t="s">
        <v>285</v>
      </c>
      <c r="AD30" s="213"/>
      <c r="AE30" s="215"/>
      <c r="AF30" s="216"/>
      <c r="AG30" s="216"/>
      <c r="AH30" s="215"/>
      <c r="AI30" s="216"/>
      <c r="AJ30" s="216"/>
      <c r="AK30" s="215"/>
      <c r="AL30" s="216"/>
      <c r="AM30" s="216"/>
      <c r="AN30" s="215"/>
      <c r="AO30" s="216"/>
      <c r="AP30" s="216"/>
    </row>
    <row r="31" spans="1:42" ht="113" customHeight="1" x14ac:dyDescent="0.2">
      <c r="A31" s="1" t="s">
        <v>32</v>
      </c>
      <c r="B31" s="51"/>
      <c r="C31" s="2">
        <v>3.5</v>
      </c>
      <c r="D31" s="202">
        <v>2.5</v>
      </c>
      <c r="E31" s="204" t="s">
        <v>244</v>
      </c>
      <c r="F31" s="204"/>
      <c r="G31" s="205">
        <v>1</v>
      </c>
      <c r="H31" s="212" t="s">
        <v>248</v>
      </c>
      <c r="I31" s="212"/>
      <c r="J31" s="205">
        <v>2</v>
      </c>
      <c r="K31" s="213" t="s">
        <v>238</v>
      </c>
      <c r="L31" s="213"/>
      <c r="M31" s="205">
        <v>0</v>
      </c>
      <c r="N31" s="216" t="s">
        <v>292</v>
      </c>
      <c r="O31" s="216"/>
      <c r="P31" s="205">
        <v>0</v>
      </c>
      <c r="Q31" s="213" t="s">
        <v>256</v>
      </c>
      <c r="R31" s="213"/>
      <c r="S31" s="205">
        <v>3</v>
      </c>
      <c r="T31" s="213" t="s">
        <v>264</v>
      </c>
      <c r="U31" s="213"/>
      <c r="V31" s="205">
        <v>1</v>
      </c>
      <c r="W31" s="213" t="s">
        <v>272</v>
      </c>
      <c r="X31" s="213"/>
      <c r="Y31" s="205">
        <v>0</v>
      </c>
      <c r="Z31" s="213" t="s">
        <v>278</v>
      </c>
      <c r="AA31" s="213"/>
      <c r="AB31" s="205">
        <v>3.5</v>
      </c>
      <c r="AC31" s="213" t="s">
        <v>291</v>
      </c>
      <c r="AD31" s="213"/>
      <c r="AE31" s="215"/>
      <c r="AF31" s="216"/>
      <c r="AG31" s="216"/>
      <c r="AH31" s="215"/>
      <c r="AI31" s="216"/>
      <c r="AJ31" s="216"/>
      <c r="AK31" s="215"/>
      <c r="AL31" s="216"/>
      <c r="AM31" s="216"/>
      <c r="AN31" s="215"/>
      <c r="AO31" s="216"/>
      <c r="AP31" s="216"/>
    </row>
    <row r="32" spans="1:42" ht="119" customHeight="1" x14ac:dyDescent="0.2">
      <c r="A32" s="79" t="s">
        <v>37</v>
      </c>
      <c r="B32" s="51" t="s">
        <v>155</v>
      </c>
      <c r="C32" s="2">
        <v>3.5</v>
      </c>
      <c r="D32" s="202">
        <v>2.5</v>
      </c>
      <c r="E32" s="204" t="s">
        <v>243</v>
      </c>
      <c r="F32" s="204"/>
      <c r="G32" s="205">
        <v>1</v>
      </c>
      <c r="H32" s="212" t="s">
        <v>250</v>
      </c>
      <c r="I32" s="212"/>
      <c r="J32" s="205">
        <v>1.5</v>
      </c>
      <c r="K32" s="213" t="s">
        <v>240</v>
      </c>
      <c r="L32" s="213"/>
      <c r="M32" s="205">
        <v>0</v>
      </c>
      <c r="N32" s="216" t="s">
        <v>292</v>
      </c>
      <c r="O32" s="216"/>
      <c r="P32" s="205">
        <v>0</v>
      </c>
      <c r="Q32" s="213" t="s">
        <v>257</v>
      </c>
      <c r="R32" s="213"/>
      <c r="S32" s="205">
        <v>2.5</v>
      </c>
      <c r="T32" s="213" t="s">
        <v>265</v>
      </c>
      <c r="U32" s="213"/>
      <c r="V32" s="205">
        <v>1</v>
      </c>
      <c r="W32" s="213" t="s">
        <v>273</v>
      </c>
      <c r="X32" s="213"/>
      <c r="Y32" s="205">
        <v>1.5</v>
      </c>
      <c r="Z32" s="213" t="s">
        <v>279</v>
      </c>
      <c r="AA32" s="213"/>
      <c r="AB32" s="205">
        <v>2</v>
      </c>
      <c r="AC32" s="213" t="s">
        <v>286</v>
      </c>
      <c r="AD32" s="213"/>
      <c r="AE32" s="215"/>
      <c r="AF32" s="216"/>
      <c r="AG32" s="216"/>
      <c r="AH32" s="215"/>
      <c r="AI32" s="216"/>
      <c r="AJ32" s="216"/>
      <c r="AK32" s="215"/>
      <c r="AL32" s="216"/>
      <c r="AM32" s="216"/>
      <c r="AN32" s="215"/>
      <c r="AO32" s="216"/>
      <c r="AP32" s="216"/>
    </row>
    <row r="33" spans="1:42" ht="101" customHeight="1" x14ac:dyDescent="0.2">
      <c r="A33" s="1" t="s">
        <v>35</v>
      </c>
      <c r="B33" s="51"/>
      <c r="C33" s="2">
        <v>2</v>
      </c>
      <c r="D33" s="202">
        <v>1.5</v>
      </c>
      <c r="E33" s="204" t="s">
        <v>242</v>
      </c>
      <c r="F33" s="204"/>
      <c r="G33" s="205">
        <v>0.5</v>
      </c>
      <c r="H33" s="212" t="s">
        <v>247</v>
      </c>
      <c r="I33" s="212"/>
      <c r="J33" s="205">
        <v>1</v>
      </c>
      <c r="K33" s="213" t="s">
        <v>234</v>
      </c>
      <c r="L33" s="213"/>
      <c r="M33" s="205">
        <v>0</v>
      </c>
      <c r="N33" s="216" t="s">
        <v>292</v>
      </c>
      <c r="O33" s="216"/>
      <c r="P33" s="205">
        <v>0.5</v>
      </c>
      <c r="Q33" s="213" t="s">
        <v>254</v>
      </c>
      <c r="R33" s="213"/>
      <c r="S33" s="205">
        <v>2</v>
      </c>
      <c r="T33" s="213" t="s">
        <v>267</v>
      </c>
      <c r="U33" s="213"/>
      <c r="V33" s="205">
        <v>0.5</v>
      </c>
      <c r="W33" s="213" t="s">
        <v>271</v>
      </c>
      <c r="X33" s="213"/>
      <c r="Y33" s="205">
        <v>1</v>
      </c>
      <c r="Z33" s="213" t="s">
        <v>276</v>
      </c>
      <c r="AA33" s="213"/>
      <c r="AB33" s="205">
        <v>1.5</v>
      </c>
      <c r="AC33" s="213" t="s">
        <v>287</v>
      </c>
      <c r="AD33" s="213"/>
      <c r="AE33" s="215"/>
      <c r="AF33" s="216"/>
      <c r="AG33" s="216"/>
      <c r="AH33" s="215"/>
      <c r="AI33" s="216"/>
      <c r="AJ33" s="216"/>
      <c r="AK33" s="215"/>
      <c r="AL33" s="216"/>
      <c r="AM33" s="216"/>
      <c r="AN33" s="215"/>
      <c r="AO33" s="216"/>
      <c r="AP33" s="216"/>
    </row>
    <row r="34" spans="1:42" ht="70" customHeight="1" x14ac:dyDescent="0.2">
      <c r="A34" s="1" t="s">
        <v>33</v>
      </c>
      <c r="B34" s="51"/>
      <c r="C34" s="2">
        <v>2</v>
      </c>
      <c r="D34" s="202">
        <v>1.5</v>
      </c>
      <c r="E34" s="204" t="s">
        <v>245</v>
      </c>
      <c r="F34" s="204"/>
      <c r="G34" s="205">
        <v>0.5</v>
      </c>
      <c r="H34" s="212" t="s">
        <v>251</v>
      </c>
      <c r="I34" s="212"/>
      <c r="J34" s="205">
        <v>0.5</v>
      </c>
      <c r="K34" s="213" t="s">
        <v>239</v>
      </c>
      <c r="L34" s="213"/>
      <c r="M34" s="205">
        <v>0</v>
      </c>
      <c r="N34" s="216" t="s">
        <v>292</v>
      </c>
      <c r="O34" s="216"/>
      <c r="P34" s="205">
        <v>0</v>
      </c>
      <c r="Q34" s="213" t="s">
        <v>258</v>
      </c>
      <c r="R34" s="213"/>
      <c r="S34" s="205">
        <v>1.5</v>
      </c>
      <c r="T34" s="213" t="s">
        <v>268</v>
      </c>
      <c r="U34" s="213"/>
      <c r="V34" s="205">
        <v>1</v>
      </c>
      <c r="W34" s="213" t="s">
        <v>275</v>
      </c>
      <c r="X34" s="213"/>
      <c r="Y34" s="205">
        <v>1</v>
      </c>
      <c r="Z34" s="213" t="s">
        <v>282</v>
      </c>
      <c r="AA34" s="213"/>
      <c r="AB34" s="205">
        <v>1.5</v>
      </c>
      <c r="AC34" s="213" t="s">
        <v>290</v>
      </c>
      <c r="AD34" s="213"/>
      <c r="AE34" s="215"/>
      <c r="AF34" s="216"/>
      <c r="AG34" s="216"/>
      <c r="AH34" s="215"/>
      <c r="AI34" s="216"/>
      <c r="AJ34" s="216"/>
      <c r="AK34" s="215"/>
      <c r="AL34" s="216"/>
      <c r="AM34" s="216"/>
      <c r="AN34" s="215"/>
      <c r="AO34" s="216"/>
      <c r="AP34" s="216"/>
    </row>
    <row r="35" spans="1:42" ht="66" customHeight="1" x14ac:dyDescent="0.2">
      <c r="A35" s="79" t="s">
        <v>235</v>
      </c>
      <c r="B35" s="51" t="s">
        <v>233</v>
      </c>
      <c r="C35" s="2">
        <v>1</v>
      </c>
      <c r="D35" s="202">
        <v>0.5</v>
      </c>
      <c r="E35" s="204" t="s">
        <v>314</v>
      </c>
      <c r="F35" s="204"/>
      <c r="G35" s="205">
        <v>0.25</v>
      </c>
      <c r="H35" s="212" t="s">
        <v>249</v>
      </c>
      <c r="I35" s="212"/>
      <c r="J35" s="205">
        <v>0.25</v>
      </c>
      <c r="K35" s="213" t="s">
        <v>261</v>
      </c>
      <c r="L35" s="213"/>
      <c r="M35" s="205">
        <v>0</v>
      </c>
      <c r="N35" s="216" t="s">
        <v>292</v>
      </c>
      <c r="O35" s="216"/>
      <c r="P35" s="205">
        <v>0</v>
      </c>
      <c r="Q35" s="213" t="s">
        <v>259</v>
      </c>
      <c r="R35" s="213"/>
      <c r="S35" s="205">
        <v>0.5</v>
      </c>
      <c r="T35" s="213" t="s">
        <v>263</v>
      </c>
      <c r="U35" s="213"/>
      <c r="V35" s="205">
        <v>0.5</v>
      </c>
      <c r="W35" s="213" t="s">
        <v>269</v>
      </c>
      <c r="X35" s="213"/>
      <c r="Y35" s="205">
        <v>0.5</v>
      </c>
      <c r="Z35" s="213" t="s">
        <v>280</v>
      </c>
      <c r="AA35" s="213"/>
      <c r="AB35" s="205">
        <v>0.75</v>
      </c>
      <c r="AC35" s="213" t="s">
        <v>288</v>
      </c>
      <c r="AD35" s="213"/>
      <c r="AE35" s="215"/>
      <c r="AF35" s="216"/>
      <c r="AG35" s="216"/>
      <c r="AH35" s="215"/>
      <c r="AI35" s="216"/>
      <c r="AJ35" s="216"/>
      <c r="AK35" s="215"/>
      <c r="AL35" s="216"/>
      <c r="AM35" s="216"/>
      <c r="AN35" s="215"/>
      <c r="AO35" s="216"/>
      <c r="AP35" s="216"/>
    </row>
    <row r="36" spans="1:42" ht="66" customHeight="1" x14ac:dyDescent="0.2">
      <c r="A36" s="1" t="s">
        <v>36</v>
      </c>
      <c r="B36" s="51"/>
      <c r="C36" s="2">
        <v>1</v>
      </c>
      <c r="D36" s="202">
        <v>0.5</v>
      </c>
      <c r="E36" s="204" t="s">
        <v>246</v>
      </c>
      <c r="F36" s="204"/>
      <c r="G36" s="205">
        <v>0.5</v>
      </c>
      <c r="H36" s="212" t="s">
        <v>253</v>
      </c>
      <c r="I36" s="212"/>
      <c r="J36" s="205">
        <v>0.5</v>
      </c>
      <c r="K36" s="213" t="s">
        <v>237</v>
      </c>
      <c r="L36" s="213"/>
      <c r="M36" s="205">
        <v>0</v>
      </c>
      <c r="N36" s="216" t="s">
        <v>292</v>
      </c>
      <c r="O36" s="216"/>
      <c r="P36" s="205">
        <v>0</v>
      </c>
      <c r="Q36" s="213" t="s">
        <v>260</v>
      </c>
      <c r="R36" s="213"/>
      <c r="S36" s="205">
        <v>1</v>
      </c>
      <c r="T36" s="213" t="s">
        <v>266</v>
      </c>
      <c r="U36" s="213"/>
      <c r="V36" s="205">
        <v>0.5</v>
      </c>
      <c r="W36" s="213" t="s">
        <v>274</v>
      </c>
      <c r="X36" s="213"/>
      <c r="Y36" s="205">
        <v>0.5</v>
      </c>
      <c r="Z36" s="213" t="s">
        <v>281</v>
      </c>
      <c r="AA36" s="213"/>
      <c r="AB36" s="205">
        <v>1</v>
      </c>
      <c r="AC36" s="213" t="s">
        <v>289</v>
      </c>
      <c r="AD36" s="213"/>
      <c r="AE36" s="215"/>
      <c r="AF36" s="216"/>
      <c r="AG36" s="216"/>
      <c r="AH36" s="215"/>
      <c r="AI36" s="216"/>
      <c r="AJ36" s="216"/>
      <c r="AK36" s="215"/>
      <c r="AL36" s="216"/>
      <c r="AM36" s="216"/>
      <c r="AN36" s="215"/>
      <c r="AO36" s="216"/>
      <c r="AP36" s="216"/>
    </row>
    <row r="37" spans="1:42" ht="57" customHeight="1" x14ac:dyDescent="0.2">
      <c r="A37" s="8" t="s">
        <v>31</v>
      </c>
      <c r="B37" s="29" t="s">
        <v>117</v>
      </c>
      <c r="C37" s="2">
        <f>SUM(C30:C36)</f>
        <v>15</v>
      </c>
      <c r="D37" s="207">
        <f>SUM(D30:D36)</f>
        <v>10.5</v>
      </c>
      <c r="E37" s="204"/>
      <c r="F37" s="204"/>
      <c r="G37" s="207">
        <f>SUM(G30:G36)</f>
        <v>4.25</v>
      </c>
      <c r="H37" s="212"/>
      <c r="I37" s="212"/>
      <c r="J37" s="206">
        <f>SUM(J30:J36)</f>
        <v>6.75</v>
      </c>
      <c r="K37" s="213"/>
      <c r="L37" s="213"/>
      <c r="M37" s="207">
        <f>SUM(M30:M36)</f>
        <v>0</v>
      </c>
      <c r="N37" s="217"/>
      <c r="O37" s="217"/>
      <c r="P37" s="207">
        <f>SUM(P30:P36)</f>
        <v>1</v>
      </c>
      <c r="Q37" s="213"/>
      <c r="R37" s="213"/>
      <c r="S37" s="207">
        <f>SUM(S30:S36)</f>
        <v>12</v>
      </c>
      <c r="T37" s="213"/>
      <c r="U37" s="213"/>
      <c r="V37" s="207">
        <f>SUM(V30:V36)</f>
        <v>5</v>
      </c>
      <c r="W37" s="216"/>
      <c r="X37" s="216"/>
      <c r="Y37" s="207">
        <f>SUM(Y30:Y36)</f>
        <v>6</v>
      </c>
      <c r="Z37" s="213"/>
      <c r="AA37" s="213"/>
      <c r="AB37" s="207">
        <f>SUM(AB30:AB36)</f>
        <v>12.25</v>
      </c>
      <c r="AC37" s="216"/>
      <c r="AD37" s="216"/>
      <c r="AE37" s="207">
        <f>SUM(AE30:AE36)</f>
        <v>0</v>
      </c>
      <c r="AF37" s="216"/>
      <c r="AG37" s="216"/>
      <c r="AH37" s="207">
        <f>SUM(AH30:AH36)</f>
        <v>0</v>
      </c>
      <c r="AI37" s="216"/>
      <c r="AJ37" s="216"/>
      <c r="AK37" s="207">
        <f>SUM(AK30:AK36)</f>
        <v>0</v>
      </c>
      <c r="AL37" s="216"/>
      <c r="AM37" s="216"/>
      <c r="AN37" s="207">
        <f>SUM(AN30:AN36)</f>
        <v>0</v>
      </c>
      <c r="AO37" s="216"/>
      <c r="AP37" s="216"/>
    </row>
    <row r="38" spans="1:42" s="47" customFormat="1" ht="17" x14ac:dyDescent="0.2">
      <c r="A38" s="43" t="s">
        <v>34</v>
      </c>
      <c r="B38" s="44"/>
      <c r="C38" s="45"/>
      <c r="D38" s="46" t="str">
        <f>"Gruppe: " &amp; E2</f>
        <v>Gruppe: Statistics Gals</v>
      </c>
      <c r="E38" s="101"/>
      <c r="F38" s="93"/>
      <c r="G38" s="85" t="str">
        <f t="shared" ref="G38" si="48">"Gruppe: " &amp; H2</f>
        <v>Gruppe: Statistik DASJ</v>
      </c>
      <c r="H38" s="124"/>
      <c r="I38" s="121"/>
      <c r="J38" s="85" t="str">
        <f t="shared" ref="J38" si="49">"Gruppe: " &amp; K2</f>
        <v>Gruppe: Kreativität = 0</v>
      </c>
      <c r="K38" s="101"/>
      <c r="L38" s="93"/>
      <c r="M38" s="85" t="str">
        <f t="shared" ref="M38" si="50">"Gruppe: " &amp; N2</f>
        <v>Gruppe: Teamtastik</v>
      </c>
      <c r="N38" s="87"/>
      <c r="O38" s="88"/>
      <c r="P38" s="85" t="str">
        <f t="shared" ref="P38" si="51">"Gruppe: " &amp; Q2</f>
        <v>Gruppe: Die Datenanalytiker</v>
      </c>
      <c r="Q38" s="87"/>
      <c r="R38" s="88"/>
      <c r="S38" s="85" t="str">
        <f t="shared" ref="S38" si="52">"Gruppe: " &amp; T2</f>
        <v>Gruppe: Die Schalker</v>
      </c>
      <c r="T38" s="87"/>
      <c r="U38" s="88"/>
      <c r="V38" s="85" t="str">
        <f t="shared" ref="V38" si="53">"Gruppe: " &amp; W2</f>
        <v>Gruppe: JAMT</v>
      </c>
      <c r="W38" s="101"/>
      <c r="X38" s="93"/>
      <c r="Y38" s="85" t="str">
        <f t="shared" ref="Y38" si="54">"Gruppe: " &amp; Z2</f>
        <v>Gruppe: Crystal Math</v>
      </c>
      <c r="Z38" s="101"/>
      <c r="AA38" s="93"/>
      <c r="AB38" s="85" t="str">
        <f t="shared" ref="AB38" si="55">"Gruppe: " &amp; AC2</f>
        <v>Gruppe: Mineralwasser 3</v>
      </c>
      <c r="AC38" s="101"/>
      <c r="AD38" s="93"/>
      <c r="AE38" s="85" t="str">
        <f t="shared" ref="AE38" si="56">"Gruppe: " &amp; AF2</f>
        <v xml:space="preserve">Gruppe: </v>
      </c>
      <c r="AF38" s="101"/>
      <c r="AG38" s="93"/>
      <c r="AH38" s="85" t="str">
        <f t="shared" ref="AH38" si="57">"Gruppe: " &amp; AI2</f>
        <v xml:space="preserve">Gruppe: </v>
      </c>
      <c r="AI38" s="101"/>
      <c r="AJ38" s="93"/>
      <c r="AK38" s="85" t="str">
        <f t="shared" ref="AK38" si="58">"Gruppe: " &amp; AL2</f>
        <v xml:space="preserve">Gruppe: </v>
      </c>
      <c r="AL38" s="101"/>
      <c r="AM38" s="93"/>
      <c r="AN38" s="85" t="str">
        <f t="shared" ref="AN38" si="59">"Gruppe: " &amp; AO2</f>
        <v xml:space="preserve">Gruppe: </v>
      </c>
      <c r="AO38" s="101"/>
      <c r="AP38" s="93"/>
    </row>
    <row r="39" spans="1:42" s="140" customFormat="1" ht="17" x14ac:dyDescent="0.2">
      <c r="A39" s="141" t="s">
        <v>10</v>
      </c>
      <c r="B39" s="135"/>
      <c r="C39" s="2">
        <f>C16</f>
        <v>2</v>
      </c>
      <c r="D39" s="136">
        <f>D16</f>
        <v>1</v>
      </c>
      <c r="E39" s="184" t="str">
        <f>"(" &amp; TEXT(D39/$C39, "0,0 %") &amp; ")"</f>
        <v>(50,0 %)</v>
      </c>
      <c r="F39" s="185"/>
      <c r="G39" s="137">
        <f>G16</f>
        <v>1</v>
      </c>
      <c r="H39" s="184" t="str">
        <f>"(" &amp; TEXT(G39/$C39, "0,0 %") &amp; ")"</f>
        <v>(50,0 %)</v>
      </c>
      <c r="I39" s="185"/>
      <c r="J39" s="142">
        <f>J16</f>
        <v>0.8</v>
      </c>
      <c r="K39" s="176" t="str">
        <f>"(" &amp; TEXT(J39/$C39, "0,0 %") &amp; ")"</f>
        <v>(40,0 %)</v>
      </c>
      <c r="L39" s="177"/>
      <c r="M39" s="142">
        <f>M16</f>
        <v>0.70000000000000007</v>
      </c>
      <c r="N39" s="176" t="str">
        <f>"(" &amp; TEXT(M39/$C39, "0,0 %") &amp; ")"</f>
        <v>(35,0 %)</v>
      </c>
      <c r="O39" s="177"/>
      <c r="P39" s="142">
        <f>P16</f>
        <v>1.1000000000000001</v>
      </c>
      <c r="Q39" s="176" t="str">
        <f>"(" &amp; TEXT(P39/$C39, "0,0 %") &amp; ")"</f>
        <v>(55,0 %)</v>
      </c>
      <c r="R39" s="177"/>
      <c r="S39" s="142">
        <f>S16</f>
        <v>1.0999999999999999</v>
      </c>
      <c r="T39" s="176" t="str">
        <f>"(" &amp; TEXT(S39/$C39, "0,0 %") &amp; ")"</f>
        <v>(55,0 %)</v>
      </c>
      <c r="U39" s="177"/>
      <c r="V39" s="142">
        <f>V16</f>
        <v>0.7</v>
      </c>
      <c r="W39" s="176" t="str">
        <f>"(" &amp; TEXT(V39/$C39, "0,0 %") &amp; ")"</f>
        <v>(35,0 %)</v>
      </c>
      <c r="X39" s="177"/>
      <c r="Y39" s="142">
        <f>Y16</f>
        <v>0.4</v>
      </c>
      <c r="Z39" s="176" t="str">
        <f>"(" &amp; TEXT(Y39/$C39, "0,0 %") &amp; ")"</f>
        <v>(20,0 %)</v>
      </c>
      <c r="AA39" s="177"/>
      <c r="AB39" s="142">
        <f>AB16</f>
        <v>1</v>
      </c>
      <c r="AC39" s="176" t="str">
        <f>"(" &amp; TEXT(AB39/$C39, "0,0 %") &amp; ")"</f>
        <v>(50,0 %)</v>
      </c>
      <c r="AD39" s="177"/>
      <c r="AE39" s="142">
        <f>AE16</f>
        <v>0</v>
      </c>
      <c r="AF39" s="176" t="str">
        <f>"(" &amp; TEXT(AE39/$C39, "0,0 %") &amp; ")"</f>
        <v>(0,0 %)</v>
      </c>
      <c r="AG39" s="177"/>
      <c r="AH39" s="142">
        <f>AH16</f>
        <v>0</v>
      </c>
      <c r="AI39" s="176" t="str">
        <f>"(" &amp; TEXT(AH39/$C39, "0,0 %") &amp; ")"</f>
        <v>(0,0 %)</v>
      </c>
      <c r="AJ39" s="177"/>
      <c r="AK39" s="142">
        <f>AK16</f>
        <v>0</v>
      </c>
      <c r="AL39" s="176" t="str">
        <f>"(" &amp; TEXT(AK39/$C39, "0,0 %") &amp; ")"</f>
        <v>(0,0 %)</v>
      </c>
      <c r="AM39" s="177"/>
      <c r="AN39" s="142">
        <f>AN16</f>
        <v>0</v>
      </c>
      <c r="AO39" s="176" t="str">
        <f>"(" &amp; TEXT(AN39/$C39, "0,0 %") &amp; ")"</f>
        <v>(0,0 %)</v>
      </c>
      <c r="AP39" s="177"/>
    </row>
    <row r="40" spans="1:42" s="140" customFormat="1" ht="17" x14ac:dyDescent="0.2">
      <c r="A40" s="141" t="s">
        <v>11</v>
      </c>
      <c r="B40" s="135"/>
      <c r="C40" s="2">
        <f>C26</f>
        <v>8</v>
      </c>
      <c r="D40" s="136">
        <f>D26</f>
        <v>2.5</v>
      </c>
      <c r="E40" s="184" t="str">
        <f>"(" &amp; TEXT(D40/$C40, "0,0 %") &amp; ")"</f>
        <v>(31,3 %)</v>
      </c>
      <c r="F40" s="185"/>
      <c r="G40" s="137">
        <f>G26</f>
        <v>2</v>
      </c>
      <c r="H40" s="184" t="str">
        <f t="shared" ref="H40:H41" si="60">"(" &amp; TEXT(G40/$C40, "0,0 %") &amp; ")"</f>
        <v>(25,0 %)</v>
      </c>
      <c r="I40" s="185"/>
      <c r="J40" s="142">
        <f>J26</f>
        <v>6</v>
      </c>
      <c r="K40" s="176" t="str">
        <f t="shared" ref="K40" si="61">"(" &amp; TEXT(J40/$C40, "0,0 %") &amp; ")"</f>
        <v>(75,0 %)</v>
      </c>
      <c r="L40" s="177"/>
      <c r="M40" s="142">
        <f>M26</f>
        <v>0.25</v>
      </c>
      <c r="N40" s="176" t="str">
        <f t="shared" ref="N40" si="62">"(" &amp; TEXT(M40/$C40, "0,0 %") &amp; ")"</f>
        <v>(3,1 %)</v>
      </c>
      <c r="O40" s="177"/>
      <c r="P40" s="142">
        <f>P26</f>
        <v>1</v>
      </c>
      <c r="Q40" s="176" t="str">
        <f t="shared" ref="Q40" si="63">"(" &amp; TEXT(P40/$C40, "0,0 %") &amp; ")"</f>
        <v>(12,5 %)</v>
      </c>
      <c r="R40" s="177"/>
      <c r="S40" s="142">
        <f>S26</f>
        <v>5.25</v>
      </c>
      <c r="T40" s="176" t="str">
        <f t="shared" ref="T40" si="64">"(" &amp; TEXT(S40/$C40, "0,0 %") &amp; ")"</f>
        <v>(65,6 %)</v>
      </c>
      <c r="U40" s="177"/>
      <c r="V40" s="142">
        <f>V26</f>
        <v>2.5</v>
      </c>
      <c r="W40" s="176" t="str">
        <f t="shared" ref="W40" si="65">"(" &amp; TEXT(V40/$C40, "0,0 %") &amp; ")"</f>
        <v>(31,3 %)</v>
      </c>
      <c r="X40" s="177"/>
      <c r="Y40" s="142">
        <f>Y26</f>
        <v>2.25</v>
      </c>
      <c r="Z40" s="176" t="str">
        <f t="shared" ref="Z40" si="66">"(" &amp; TEXT(Y40/$C40, "0,0 %") &amp; ")"</f>
        <v>(28,1 %)</v>
      </c>
      <c r="AA40" s="177"/>
      <c r="AB40" s="142">
        <f>AB26</f>
        <v>5.5</v>
      </c>
      <c r="AC40" s="176" t="str">
        <f t="shared" ref="AC40" si="67">"(" &amp; TEXT(AB40/$C40, "0,0 %") &amp; ")"</f>
        <v>(68,8 %)</v>
      </c>
      <c r="AD40" s="177"/>
      <c r="AE40" s="142">
        <f>AE26</f>
        <v>0</v>
      </c>
      <c r="AF40" s="176" t="str">
        <f t="shared" ref="AF40" si="68">"(" &amp; TEXT(AE40/$C40, "0,0 %") &amp; ")"</f>
        <v>(0,0 %)</v>
      </c>
      <c r="AG40" s="177"/>
      <c r="AH40" s="142">
        <f>AH26</f>
        <v>0</v>
      </c>
      <c r="AI40" s="176" t="str">
        <f t="shared" ref="AI40:AI41" si="69">"(" &amp; TEXT(AH40/$C40, "0,0 %") &amp; ")"</f>
        <v>(0,0 %)</v>
      </c>
      <c r="AJ40" s="177"/>
      <c r="AK40" s="142">
        <f>AK26</f>
        <v>0</v>
      </c>
      <c r="AL40" s="176" t="str">
        <f t="shared" ref="AL40:AL41" si="70">"(" &amp; TEXT(AK40/$C40, "0,0 %") &amp; ")"</f>
        <v>(0,0 %)</v>
      </c>
      <c r="AM40" s="177"/>
      <c r="AN40" s="142">
        <f>AN26</f>
        <v>0</v>
      </c>
      <c r="AO40" s="176" t="str">
        <f t="shared" ref="AO40:AO41" si="71">"(" &amp; TEXT(AN40/$C40, "0,0 %") &amp; ")"</f>
        <v>(0,0 %)</v>
      </c>
      <c r="AP40" s="177"/>
    </row>
    <row r="41" spans="1:42" s="148" customFormat="1" ht="18" thickBot="1" x14ac:dyDescent="0.25">
      <c r="A41" s="143" t="s">
        <v>12</v>
      </c>
      <c r="B41" s="144"/>
      <c r="C41" s="4">
        <f>C37</f>
        <v>15</v>
      </c>
      <c r="D41" s="145">
        <f>D37</f>
        <v>10.5</v>
      </c>
      <c r="E41" s="186" t="str">
        <f>"(" &amp; TEXT(D41/$C41, "0,0 %") &amp; ")"</f>
        <v>(70,0 %)</v>
      </c>
      <c r="F41" s="187"/>
      <c r="G41" s="146">
        <f>G37</f>
        <v>4.25</v>
      </c>
      <c r="H41" s="186" t="str">
        <f t="shared" si="60"/>
        <v>(28,3 %)</v>
      </c>
      <c r="I41" s="187"/>
      <c r="J41" s="147">
        <f>J37</f>
        <v>6.75</v>
      </c>
      <c r="K41" s="168" t="str">
        <f t="shared" ref="K41" si="72">"(" &amp; TEXT(J41/$C41, "0,0 %") &amp; ")"</f>
        <v>(45,0 %)</v>
      </c>
      <c r="L41" s="169"/>
      <c r="M41" s="147">
        <f>M37</f>
        <v>0</v>
      </c>
      <c r="N41" s="168" t="str">
        <f>"(" &amp; TEXT(M41/$C41, "0,0 %") &amp; ")"</f>
        <v>(0,0 %)</v>
      </c>
      <c r="O41" s="169"/>
      <c r="P41" s="147">
        <f>P37</f>
        <v>1</v>
      </c>
      <c r="Q41" s="168" t="str">
        <f t="shared" ref="Q41" si="73">"(" &amp; TEXT(P41/$C41, "0,0 %") &amp; ")"</f>
        <v>(6,7 %)</v>
      </c>
      <c r="R41" s="169"/>
      <c r="S41" s="147">
        <f>S37</f>
        <v>12</v>
      </c>
      <c r="T41" s="168" t="str">
        <f t="shared" ref="T41" si="74">"(" &amp; TEXT(S41/$C41, "0,0 %") &amp; ")"</f>
        <v>(80,0 %)</v>
      </c>
      <c r="U41" s="169"/>
      <c r="V41" s="147">
        <f>V37</f>
        <v>5</v>
      </c>
      <c r="W41" s="168" t="str">
        <f t="shared" ref="W41" si="75">"(" &amp; TEXT(V41/$C41, "0,0 %") &amp; ")"</f>
        <v>(33,3 %)</v>
      </c>
      <c r="X41" s="169"/>
      <c r="Y41" s="147">
        <f>Y37</f>
        <v>6</v>
      </c>
      <c r="Z41" s="168" t="str">
        <f t="shared" ref="Z41" si="76">"(" &amp; TEXT(Y41/$C41, "0,0 %") &amp; ")"</f>
        <v>(40,0 %)</v>
      </c>
      <c r="AA41" s="169"/>
      <c r="AB41" s="147">
        <f>AB37</f>
        <v>12.25</v>
      </c>
      <c r="AC41" s="168" t="str">
        <f t="shared" ref="AC41" si="77">"(" &amp; TEXT(AB41/$C41, "0,0 %") &amp; ")"</f>
        <v>(81,7 %)</v>
      </c>
      <c r="AD41" s="169"/>
      <c r="AE41" s="147">
        <f>AE37</f>
        <v>0</v>
      </c>
      <c r="AF41" s="168" t="str">
        <f t="shared" ref="AF41" si="78">"(" &amp; TEXT(AE41/$C41, "0,0 %") &amp; ")"</f>
        <v>(0,0 %)</v>
      </c>
      <c r="AG41" s="169"/>
      <c r="AH41" s="147">
        <f>AH37</f>
        <v>0</v>
      </c>
      <c r="AI41" s="168" t="str">
        <f t="shared" si="69"/>
        <v>(0,0 %)</v>
      </c>
      <c r="AJ41" s="169"/>
      <c r="AK41" s="147">
        <f>AK37</f>
        <v>0</v>
      </c>
      <c r="AL41" s="168" t="str">
        <f t="shared" si="70"/>
        <v>(0,0 %)</v>
      </c>
      <c r="AM41" s="169"/>
      <c r="AN41" s="147">
        <f>AN37</f>
        <v>0</v>
      </c>
      <c r="AO41" s="168" t="str">
        <f t="shared" si="71"/>
        <v>(0,0 %)</v>
      </c>
      <c r="AP41" s="169"/>
    </row>
    <row r="42" spans="1:42" s="153" customFormat="1" ht="18" thickTop="1" x14ac:dyDescent="0.2">
      <c r="A42" s="8" t="s">
        <v>137</v>
      </c>
      <c r="B42" s="149"/>
      <c r="C42" s="3">
        <f>SUM(C39:C41)</f>
        <v>25</v>
      </c>
      <c r="D42" s="150">
        <f>SUM(D39:D41)</f>
        <v>14</v>
      </c>
      <c r="E42" s="188" t="str">
        <f>"(" &amp; TEXT(D42/$C42, "0,0 %") &amp; ")"</f>
        <v>(56,0 %)</v>
      </c>
      <c r="F42" s="189"/>
      <c r="G42" s="151">
        <f t="shared" ref="G42" si="79">SUM(G39:G41)</f>
        <v>7.25</v>
      </c>
      <c r="H42" s="188" t="str">
        <f>"(" &amp; TEXT(G42/$C42, "0,0 %") &amp; ")"</f>
        <v>(29,0 %)</v>
      </c>
      <c r="I42" s="189"/>
      <c r="J42" s="152">
        <f t="shared" ref="J42" si="80">SUM(J39:J41)</f>
        <v>13.55</v>
      </c>
      <c r="K42" s="170" t="str">
        <f>"(" &amp; TEXT(J42/$C42, "0,0 %") &amp; ")"</f>
        <v>(54,2 %)</v>
      </c>
      <c r="L42" s="171"/>
      <c r="M42" s="152">
        <f t="shared" ref="M42" si="81">SUM(M39:M41)</f>
        <v>0.95000000000000007</v>
      </c>
      <c r="N42" s="170" t="str">
        <f>"(" &amp; TEXT(M42/$C42, "0,0 %") &amp; ")"</f>
        <v>(3,8 %)</v>
      </c>
      <c r="O42" s="171"/>
      <c r="P42" s="152">
        <f t="shared" ref="P42" si="82">SUM(P39:P41)</f>
        <v>3.1</v>
      </c>
      <c r="Q42" s="170" t="str">
        <f>"(" &amp; TEXT(P42/$C42, "0,0 %") &amp; ")"</f>
        <v>(12,4 %)</v>
      </c>
      <c r="R42" s="171"/>
      <c r="S42" s="152">
        <f t="shared" ref="S42" si="83">SUM(S39:S41)</f>
        <v>18.350000000000001</v>
      </c>
      <c r="T42" s="170" t="str">
        <f>"(" &amp; TEXT(S42/$C42, "0,0 %") &amp; ")"</f>
        <v>(73,4 %)</v>
      </c>
      <c r="U42" s="171"/>
      <c r="V42" s="152">
        <f t="shared" ref="V42" si="84">SUM(V39:V41)</f>
        <v>8.1999999999999993</v>
      </c>
      <c r="W42" s="170" t="str">
        <f>"(" &amp; TEXT(V42/$C42, "0,0 %") &amp; ")"</f>
        <v>(32,8 %)</v>
      </c>
      <c r="X42" s="171"/>
      <c r="Y42" s="152">
        <f t="shared" ref="Y42" si="85">SUM(Y39:Y41)</f>
        <v>8.65</v>
      </c>
      <c r="Z42" s="170" t="str">
        <f>"(" &amp; TEXT(Y42/$C42, "0,0 %") &amp; ")"</f>
        <v>(34,6 %)</v>
      </c>
      <c r="AA42" s="171"/>
      <c r="AB42" s="152">
        <f t="shared" ref="AB42" si="86">SUM(AB39:AB41)</f>
        <v>18.75</v>
      </c>
      <c r="AC42" s="170" t="str">
        <f>"(" &amp; TEXT(AB42/$C42, "0,0 %") &amp; ")"</f>
        <v>(75,0 %)</v>
      </c>
      <c r="AD42" s="171"/>
      <c r="AE42" s="152">
        <f t="shared" ref="AE42" si="87">SUM(AE39:AE41)</f>
        <v>0</v>
      </c>
      <c r="AF42" s="170" t="str">
        <f>"(" &amp; TEXT(AE42/$C42, "0,0 %") &amp; ")"</f>
        <v>(0,0 %)</v>
      </c>
      <c r="AG42" s="171"/>
      <c r="AH42" s="152">
        <f t="shared" ref="AH42" si="88">SUM(AH39:AH41)</f>
        <v>0</v>
      </c>
      <c r="AI42" s="170" t="str">
        <f>"(" &amp; TEXT(AH42/$C42, "0,0 %") &amp; ")"</f>
        <v>(0,0 %)</v>
      </c>
      <c r="AJ42" s="171"/>
      <c r="AK42" s="152">
        <f t="shared" ref="AK42" si="89">SUM(AK39:AK41)</f>
        <v>0</v>
      </c>
      <c r="AL42" s="170" t="str">
        <f>"(" &amp; TEXT(AK42/$C42, "0,0 %") &amp; ")"</f>
        <v>(0,0 %)</v>
      </c>
      <c r="AM42" s="171"/>
      <c r="AN42" s="152">
        <f t="shared" ref="AN42" si="90">SUM(AN39:AN41)</f>
        <v>0</v>
      </c>
      <c r="AO42" s="170" t="str">
        <f>"(" &amp; TEXT(AN42/$C42, "0,0 %") &amp; ")"</f>
        <v>(0,0 %)</v>
      </c>
      <c r="AP42" s="171"/>
    </row>
    <row r="43" spans="1:42" s="153" customFormat="1" ht="17" x14ac:dyDescent="0.2">
      <c r="A43" s="8" t="s">
        <v>138</v>
      </c>
      <c r="B43" s="149"/>
      <c r="C43" s="3">
        <f>C42</f>
        <v>25</v>
      </c>
      <c r="D43" s="150">
        <f>ROUNDUP(D42/5,1)*5</f>
        <v>14</v>
      </c>
      <c r="E43" s="180" t="str">
        <f>"(" &amp; TEXT(D43/$C43, "0,0 %") &amp; ")"</f>
        <v>(56,0 %)</v>
      </c>
      <c r="F43" s="181"/>
      <c r="G43" s="151">
        <f>ROUNDUP(G42/5,1)*5</f>
        <v>7.5</v>
      </c>
      <c r="H43" s="180" t="str">
        <f>"(" &amp; TEXT(G43/$C43, "0,0 %") &amp; ")"</f>
        <v>(30,0 %)</v>
      </c>
      <c r="I43" s="181"/>
      <c r="J43" s="151">
        <f>ROUNDUP(J42/5,1)*5</f>
        <v>14.000000000000002</v>
      </c>
      <c r="K43" s="172" t="str">
        <f>"(" &amp; TEXT(J43/$C43, "0,0 %") &amp; ")"</f>
        <v>(56,0 %)</v>
      </c>
      <c r="L43" s="173"/>
      <c r="M43" s="151">
        <f>ROUNDUP(M42/5,1)*5</f>
        <v>1</v>
      </c>
      <c r="N43" s="172" t="str">
        <f>"(" &amp; TEXT(M43/$C43, "0,0 %") &amp; ")"</f>
        <v>(4,0 %)</v>
      </c>
      <c r="O43" s="173"/>
      <c r="P43" s="151">
        <f>ROUNDUP(P42/5,1)*5</f>
        <v>3.5</v>
      </c>
      <c r="Q43" s="172" t="str">
        <f>"(" &amp; TEXT(P43/$C43, "0,0 %") &amp; ")"</f>
        <v>(14,0 %)</v>
      </c>
      <c r="R43" s="173"/>
      <c r="S43" s="151">
        <f>ROUNDUP(S42/5,1)*5</f>
        <v>18.5</v>
      </c>
      <c r="T43" s="172" t="str">
        <f>"(" &amp; TEXT(S43/$C43, "0,0 %") &amp; ")"</f>
        <v>(74,0 %)</v>
      </c>
      <c r="U43" s="173"/>
      <c r="V43" s="151">
        <f>ROUNDUP(V42/5,1)*5</f>
        <v>8.5</v>
      </c>
      <c r="W43" s="172" t="str">
        <f>"(" &amp; TEXT(V43/$C43, "0,0 %") &amp; ")"</f>
        <v>(34,0 %)</v>
      </c>
      <c r="X43" s="173"/>
      <c r="Y43" s="151">
        <f>ROUNDUP(Y42/5,1)*5</f>
        <v>9</v>
      </c>
      <c r="Z43" s="172" t="str">
        <f>"(" &amp; TEXT(Y43/$C43, "0,0 %") &amp; ")"</f>
        <v>(36,0 %)</v>
      </c>
      <c r="AA43" s="173"/>
      <c r="AB43" s="151">
        <f>ROUNDUP(AB42/5,1)*5</f>
        <v>19</v>
      </c>
      <c r="AC43" s="172" t="str">
        <f>"(" &amp; TEXT(AB43/$C43, "0,0 %") &amp; ")"</f>
        <v>(76,0 %)</v>
      </c>
      <c r="AD43" s="173"/>
      <c r="AE43" s="151">
        <f>ROUNDUP(AE42/5,1)*5</f>
        <v>0</v>
      </c>
      <c r="AF43" s="172" t="str">
        <f>"(" &amp; TEXT(AE43/$C43, "0,0 %") &amp; ")"</f>
        <v>(0,0 %)</v>
      </c>
      <c r="AG43" s="173"/>
      <c r="AH43" s="151">
        <f>ROUNDUP(AH42/5,1)*5</f>
        <v>0</v>
      </c>
      <c r="AI43" s="172" t="str">
        <f>"(" &amp; TEXT(AH43/$C43, "0,0 %") &amp; ")"</f>
        <v>(0,0 %)</v>
      </c>
      <c r="AJ43" s="173"/>
      <c r="AK43" s="151">
        <f>ROUNDUP(AK42/5,1)*5</f>
        <v>0</v>
      </c>
      <c r="AL43" s="172" t="str">
        <f>"(" &amp; TEXT(AK43/$C43, "0,0 %") &amp; ")"</f>
        <v>(0,0 %)</v>
      </c>
      <c r="AM43" s="173"/>
      <c r="AN43" s="151">
        <f>ROUNDUP(AN42/5,1)*5</f>
        <v>0</v>
      </c>
      <c r="AO43" s="172" t="str">
        <f>"(" &amp; TEXT(AN43/$C43, "0,0 %") &amp; ")"</f>
        <v>(0,0 %)</v>
      </c>
      <c r="AP43" s="173"/>
    </row>
    <row r="44" spans="1:42" s="153" customFormat="1" ht="17" x14ac:dyDescent="0.2">
      <c r="A44" s="8" t="s">
        <v>316</v>
      </c>
      <c r="B44" s="149"/>
      <c r="C44" s="3" t="s">
        <v>139</v>
      </c>
      <c r="D44" s="154">
        <f ca="1">_xlfn.PERCENTRANK.INC(Endergebnis_gerundet,D43,4)</f>
        <v>0.625</v>
      </c>
      <c r="E44" s="180" t="str">
        <f ca="1">"( " &amp; IF(ISBLANK(D44),"-",IF(D44&gt;=0.9,"A",IF(D44&gt;=0.65,"B",IF(D44&gt;=0.35,"C",IF(D44&gt;=0.1,"D","E"))))) &amp; " )"</f>
        <v>( C )</v>
      </c>
      <c r="F44" s="181"/>
      <c r="G44" s="155">
        <f ca="1">_xlfn.PERCENTRANK.INC(Endergebnis_gerundet,G43,4)</f>
        <v>0.25</v>
      </c>
      <c r="H44" s="180" t="str">
        <f ca="1">"( " &amp; IF(ISBLANK(G44),"-",IF(G44&gt;=0.9,"A",IF(G44&gt;=0.65,"B",IF(G44&gt;=0.35,"C",IF(G44&gt;=0.1,"D","E"))))) &amp; " )"</f>
        <v>( D )</v>
      </c>
      <c r="I44" s="181"/>
      <c r="J44" s="155">
        <f ca="1">_xlfn.PERCENTRANK.INC(Endergebnis_gerundet,J43,4)</f>
        <v>0.75</v>
      </c>
      <c r="K44" s="172" t="str">
        <f ca="1">"( " &amp; IF(ISBLANK(J44),"-",IF(J44&gt;=0.9,"A",IF(J44&gt;=0.65,"B",IF(J44&gt;=0.35,"C",IF(J44&gt;=0.1,"D","E"))))) &amp; " )"</f>
        <v>( B )</v>
      </c>
      <c r="L44" s="173"/>
      <c r="M44" s="155">
        <f ca="1">_xlfn.PERCENTRANK.INC(Endergebnis_gerundet,M43,4)</f>
        <v>0</v>
      </c>
      <c r="N44" s="172" t="str">
        <f ca="1">"( " &amp; IF(ISBLANK(M44),"-",IF(M44&gt;=0.9,"A",IF(M44&gt;=0.65,"B",IF(M44&gt;=0.35,"C",IF(M44&gt;=0.1,"D","E"))))) &amp; " )"</f>
        <v>( E )</v>
      </c>
      <c r="O44" s="173"/>
      <c r="P44" s="155">
        <f ca="1">_xlfn.PERCENTRANK.INC(Endergebnis_gerundet,P43,4)</f>
        <v>0.125</v>
      </c>
      <c r="Q44" s="172" t="str">
        <f ca="1">"( " &amp; IF(ISBLANK(P44),"-",IF(P44&gt;=0.9,"A",IF(P44&gt;=0.65,"B",IF(P44&gt;=0.35,"C",IF(P44&gt;=0.1,"D","E"))))) &amp; " )"</f>
        <v>( D )</v>
      </c>
      <c r="R44" s="173"/>
      <c r="S44" s="155">
        <f ca="1">_xlfn.PERCENTRANK.INC(Endergebnis_gerundet,S43,4)</f>
        <v>0.875</v>
      </c>
      <c r="T44" s="172" t="str">
        <f ca="1">"( " &amp; IF(ISBLANK(S44),"-",IF(S44&gt;=0.9,"A",IF(S44&gt;=0.65,"B",IF(S44&gt;=0.35,"C",IF(S44&gt;=0.1,"D","E"))))) &amp; " )"</f>
        <v>( B )</v>
      </c>
      <c r="U44" s="173"/>
      <c r="V44" s="155">
        <f ca="1">_xlfn.PERCENTRANK.INC(Endergebnis_gerundet,V43,4)</f>
        <v>0.375</v>
      </c>
      <c r="W44" s="172" t="str">
        <f ca="1">"( " &amp; IF(ISBLANK(V44),"-",IF(V44&gt;=0.9,"A",IF(V44&gt;=0.65,"B",IF(V44&gt;=0.35,"C",IF(V44&gt;=0.1,"D","E"))))) &amp; " )"</f>
        <v>( C )</v>
      </c>
      <c r="X44" s="173"/>
      <c r="Y44" s="155">
        <f ca="1">_xlfn.PERCENTRANK.INC(Endergebnis_gerundet,Y43,4)</f>
        <v>0.5</v>
      </c>
      <c r="Z44" s="172" t="str">
        <f ca="1">"( " &amp; IF(ISBLANK(Y44),"-",IF(Y44&gt;=0.9,"A",IF(Y44&gt;=0.65,"B",IF(Y44&gt;=0.35,"C",IF(Y44&gt;=0.1,"D","E"))))) &amp; " )"</f>
        <v>( C )</v>
      </c>
      <c r="AA44" s="173"/>
      <c r="AB44" s="155">
        <f ca="1">_xlfn.PERCENTRANK.INC(Endergebnis_gerundet,AB43,4)</f>
        <v>1</v>
      </c>
      <c r="AC44" s="172" t="str">
        <f ca="1">"( " &amp; IF(ISBLANK(AB44),"-",IF(AB44&gt;=0.9,"A",IF(AB44&gt;=0.65,"B",IF(AB44&gt;=0.35,"C",IF(AB44&gt;=0.1,"D","E"))))) &amp; " )"</f>
        <v>( A )</v>
      </c>
      <c r="AD44" s="173"/>
      <c r="AE44" s="156" t="e">
        <f ca="1">_xlfn.PERCENTRANK.INC(Endergebnis_gerundet,AE43,4)</f>
        <v>#N/A</v>
      </c>
      <c r="AF44" s="172" t="e">
        <f ca="1">"( " &amp; IF(ISBLANK(AE44),"-",IF(AE44&gt;=0.9,"A",IF(AE44&gt;=0.65,"B",IF(AE44&gt;=0.35,"C",IF(AE44&gt;=0.1,"D","E"))))) &amp; " )"</f>
        <v>#N/A</v>
      </c>
      <c r="AG44" s="173"/>
      <c r="AH44" s="156" t="e">
        <f ca="1">_xlfn.PERCENTRANK.INC(Endergebnis_gerundet,AH43,4)</f>
        <v>#N/A</v>
      </c>
      <c r="AI44" s="172" t="e">
        <f ca="1">"( " &amp; IF(ISBLANK(AH44),"-",IF(AH44&gt;=0.9,"A",IF(AH44&gt;=0.65,"B",IF(AH44&gt;=0.35,"C",IF(AH44&gt;=0.1,"D","E"))))) &amp; " )"</f>
        <v>#N/A</v>
      </c>
      <c r="AJ44" s="173"/>
      <c r="AK44" s="156" t="e">
        <f ca="1">_xlfn.PERCENTRANK.INC(Endergebnis_gerundet,AK43,4)</f>
        <v>#N/A</v>
      </c>
      <c r="AL44" s="172" t="e">
        <f ca="1">"( " &amp; IF(ISBLANK(AK44),"-",IF(AK44&gt;=0.9,"A",IF(AK44&gt;=0.65,"B",IF(AK44&gt;=0.35,"C",IF(AK44&gt;=0.1,"D","E"))))) &amp; " )"</f>
        <v>#N/A</v>
      </c>
      <c r="AM44" s="173"/>
      <c r="AN44" s="156" t="e">
        <f ca="1">_xlfn.PERCENTRANK.INC(Endergebnis_gerundet,AN43,4)</f>
        <v>#N/A</v>
      </c>
      <c r="AO44" s="172" t="e">
        <f ca="1">"( " &amp; IF(ISBLANK(AN44),"-",IF(AN44&gt;=0.9,"A",IF(AN44&gt;=0.65,"B",IF(AN44&gt;=0.35,"C",IF(AN44&gt;=0.1,"D","E"))))) &amp; " )"</f>
        <v>#N/A</v>
      </c>
      <c r="AP44" s="173"/>
    </row>
    <row r="45" spans="1:42" s="140" customFormat="1" ht="17" x14ac:dyDescent="0.2">
      <c r="A45" s="8" t="s">
        <v>293</v>
      </c>
      <c r="B45" s="135"/>
      <c r="C45" s="81">
        <v>0.5</v>
      </c>
      <c r="D45" s="136" t="b">
        <f>D43 &gt;= $C$43 *$C$45</f>
        <v>1</v>
      </c>
      <c r="E45" s="182" t="str">
        <f>IF(D45,"Bestanden","Durchgefallen")</f>
        <v>Bestanden</v>
      </c>
      <c r="F45" s="183"/>
      <c r="G45" s="137" t="b">
        <f t="shared" ref="G45" si="91">G43 &gt;= $C$43 *$C$45</f>
        <v>0</v>
      </c>
      <c r="H45" s="182" t="str">
        <f t="shared" ref="H45" si="92">IF(G45,"Bestanden","Durchgefallen")</f>
        <v>Durchgefallen</v>
      </c>
      <c r="I45" s="183"/>
      <c r="J45" s="137" t="b">
        <f t="shared" ref="J45" si="93">J43 &gt;= $C$43 *$C$45</f>
        <v>1</v>
      </c>
      <c r="K45" s="174" t="str">
        <f t="shared" ref="K45" si="94">IF(J45,"Bestanden","Durchgefallen")</f>
        <v>Bestanden</v>
      </c>
      <c r="L45" s="175"/>
      <c r="M45" s="137" t="b">
        <f t="shared" ref="M45" si="95">M43 &gt;= $C$43 *$C$45</f>
        <v>0</v>
      </c>
      <c r="N45" s="174" t="str">
        <f t="shared" ref="N45" si="96">IF(M45,"Bestanden","Durchgefallen")</f>
        <v>Durchgefallen</v>
      </c>
      <c r="O45" s="175"/>
      <c r="P45" s="137" t="b">
        <f t="shared" ref="P45" si="97">P43 &gt;= $C$43 *$C$45</f>
        <v>0</v>
      </c>
      <c r="Q45" s="174" t="str">
        <f t="shared" ref="Q45" si="98">IF(P45,"Bestanden","Durchgefallen")</f>
        <v>Durchgefallen</v>
      </c>
      <c r="R45" s="175"/>
      <c r="S45" s="137" t="b">
        <f t="shared" ref="S45" si="99">S43 &gt;= $C$43 *$C$45</f>
        <v>1</v>
      </c>
      <c r="T45" s="174" t="str">
        <f t="shared" ref="T45" si="100">IF(S45,"Bestanden","Durchgefallen")</f>
        <v>Bestanden</v>
      </c>
      <c r="U45" s="175"/>
      <c r="V45" s="137" t="b">
        <f t="shared" ref="V45" si="101">V43 &gt;= $C$43 *$C$45</f>
        <v>0</v>
      </c>
      <c r="W45" s="174" t="str">
        <f t="shared" ref="W45" si="102">IF(V45,"Bestanden","Durchgefallen")</f>
        <v>Durchgefallen</v>
      </c>
      <c r="X45" s="175"/>
      <c r="Y45" s="137" t="b">
        <f t="shared" ref="Y45" si="103">Y43 &gt;= $C$43 *$C$45</f>
        <v>0</v>
      </c>
      <c r="Z45" s="138" t="str">
        <f t="shared" ref="Z45" si="104">IF(Y45,"Bestanden","Durchgefallen")</f>
        <v>Durchgefallen</v>
      </c>
      <c r="AA45" s="139"/>
      <c r="AB45" s="137" t="b">
        <f t="shared" ref="AB45" si="105">AB43 &gt;= $C$43 *$C$45</f>
        <v>1</v>
      </c>
      <c r="AC45" s="174" t="str">
        <f t="shared" ref="AC45" si="106">IF(AB45,"Bestanden","Durchgefallen")</f>
        <v>Bestanden</v>
      </c>
      <c r="AD45" s="175"/>
      <c r="AE45" s="137" t="b">
        <f t="shared" ref="AE45" si="107">AE43 &gt;= $C$43 *$C$45</f>
        <v>0</v>
      </c>
      <c r="AF45" s="174" t="str">
        <f t="shared" ref="AF45" si="108">IF(AE45,"Bestanden","Durchgefallen")</f>
        <v>Durchgefallen</v>
      </c>
      <c r="AG45" s="175"/>
      <c r="AH45" s="137" t="b">
        <f t="shared" ref="AH45" si="109">AH43 &gt;= $C$43 *$C$45</f>
        <v>0</v>
      </c>
      <c r="AI45" s="174" t="str">
        <f t="shared" ref="AI45" si="110">IF(AH45,"Bestanden","Durchgefallen")</f>
        <v>Durchgefallen</v>
      </c>
      <c r="AJ45" s="175"/>
      <c r="AK45" s="137" t="b">
        <f t="shared" ref="AK45" si="111">AK43 &gt;= $C$43 *$C$45</f>
        <v>0</v>
      </c>
      <c r="AL45" s="174" t="str">
        <f t="shared" ref="AL45" si="112">IF(AK45,"Bestanden","Durchgefallen")</f>
        <v>Durchgefallen</v>
      </c>
      <c r="AM45" s="175"/>
      <c r="AN45" s="137" t="b">
        <f t="shared" ref="AN45" si="113">AN43 &gt;= $C$43 *$C$45</f>
        <v>0</v>
      </c>
      <c r="AO45" s="174" t="str">
        <f t="shared" ref="AO45" si="114">IF(AN45,"Bestanden","Durchgefallen")</f>
        <v>Durchgefallen</v>
      </c>
      <c r="AP45" s="175"/>
    </row>
    <row r="46" spans="1:42" x14ac:dyDescent="0.2">
      <c r="J46" s="134"/>
    </row>
  </sheetData>
  <mergeCells count="363">
    <mergeCell ref="E45:F45"/>
    <mergeCell ref="E44:F44"/>
    <mergeCell ref="E43:F43"/>
    <mergeCell ref="E42:F42"/>
    <mergeCell ref="E41:F41"/>
    <mergeCell ref="E2:F2"/>
    <mergeCell ref="E33:F33"/>
    <mergeCell ref="E32:F32"/>
    <mergeCell ref="E31:F31"/>
    <mergeCell ref="E30:F30"/>
    <mergeCell ref="E26:F26"/>
    <mergeCell ref="E25:F25"/>
    <mergeCell ref="E40:F40"/>
    <mergeCell ref="E39:F39"/>
    <mergeCell ref="E37:F37"/>
    <mergeCell ref="E36:F36"/>
    <mergeCell ref="E35:F35"/>
    <mergeCell ref="E34:F34"/>
    <mergeCell ref="E13:F13"/>
    <mergeCell ref="E14:F14"/>
    <mergeCell ref="E11:F11"/>
    <mergeCell ref="E15:F15"/>
    <mergeCell ref="E16:F16"/>
    <mergeCell ref="H26:I26"/>
    <mergeCell ref="H30:I30"/>
    <mergeCell ref="H13:I13"/>
    <mergeCell ref="H14:I14"/>
    <mergeCell ref="H15:I15"/>
    <mergeCell ref="H16:I16"/>
    <mergeCell ref="H20:I20"/>
    <mergeCell ref="H21:I21"/>
    <mergeCell ref="E24:F24"/>
    <mergeCell ref="E23:F23"/>
    <mergeCell ref="E22:F22"/>
    <mergeCell ref="E21:F21"/>
    <mergeCell ref="E20:F20"/>
    <mergeCell ref="K25:L25"/>
    <mergeCell ref="K26:L26"/>
    <mergeCell ref="K30:L30"/>
    <mergeCell ref="K31:L31"/>
    <mergeCell ref="H37:I37"/>
    <mergeCell ref="H11:I11"/>
    <mergeCell ref="H2:I2"/>
    <mergeCell ref="K13:L13"/>
    <mergeCell ref="K14:L14"/>
    <mergeCell ref="K15:L15"/>
    <mergeCell ref="K16:L16"/>
    <mergeCell ref="K20:L20"/>
    <mergeCell ref="K21:L21"/>
    <mergeCell ref="K22:L22"/>
    <mergeCell ref="H31:I31"/>
    <mergeCell ref="H32:I32"/>
    <mergeCell ref="H33:I33"/>
    <mergeCell ref="H34:I34"/>
    <mergeCell ref="H35:I35"/>
    <mergeCell ref="H36:I36"/>
    <mergeCell ref="H22:I22"/>
    <mergeCell ref="H23:I23"/>
    <mergeCell ref="H24:I24"/>
    <mergeCell ref="H25:I25"/>
    <mergeCell ref="H43:I43"/>
    <mergeCell ref="H44:I44"/>
    <mergeCell ref="H45:I45"/>
    <mergeCell ref="K45:L45"/>
    <mergeCell ref="K44:L44"/>
    <mergeCell ref="K43:L43"/>
    <mergeCell ref="K2:L2"/>
    <mergeCell ref="K11:L11"/>
    <mergeCell ref="H39:I39"/>
    <mergeCell ref="H40:I40"/>
    <mergeCell ref="H41:I41"/>
    <mergeCell ref="H42:I42"/>
    <mergeCell ref="K42:L42"/>
    <mergeCell ref="K41:L41"/>
    <mergeCell ref="K40:L40"/>
    <mergeCell ref="K39:L39"/>
    <mergeCell ref="K32:L32"/>
    <mergeCell ref="K33:L33"/>
    <mergeCell ref="K34:L34"/>
    <mergeCell ref="K35:L35"/>
    <mergeCell ref="K36:L36"/>
    <mergeCell ref="K37:L37"/>
    <mergeCell ref="K23:L23"/>
    <mergeCell ref="K24:L24"/>
    <mergeCell ref="N34:O34"/>
    <mergeCell ref="N35:O35"/>
    <mergeCell ref="N21:O21"/>
    <mergeCell ref="N22:O22"/>
    <mergeCell ref="N23:O23"/>
    <mergeCell ref="N24:O24"/>
    <mergeCell ref="N25:O25"/>
    <mergeCell ref="N26:O26"/>
    <mergeCell ref="N11:O11"/>
    <mergeCell ref="N13:O13"/>
    <mergeCell ref="N14:O14"/>
    <mergeCell ref="N15:O15"/>
    <mergeCell ref="N16:O16"/>
    <mergeCell ref="N20:O20"/>
    <mergeCell ref="Q24:R24"/>
    <mergeCell ref="Q25:R25"/>
    <mergeCell ref="Q26:R26"/>
    <mergeCell ref="Q30:R30"/>
    <mergeCell ref="N43:O43"/>
    <mergeCell ref="N44:O44"/>
    <mergeCell ref="N45:O45"/>
    <mergeCell ref="Q11:R11"/>
    <mergeCell ref="Q13:R13"/>
    <mergeCell ref="Q14:R14"/>
    <mergeCell ref="Q15:R15"/>
    <mergeCell ref="Q16:R16"/>
    <mergeCell ref="Q20:R20"/>
    <mergeCell ref="Q21:R21"/>
    <mergeCell ref="N36:O36"/>
    <mergeCell ref="N37:O37"/>
    <mergeCell ref="N39:O39"/>
    <mergeCell ref="N40:O40"/>
    <mergeCell ref="N41:O41"/>
    <mergeCell ref="N42:O42"/>
    <mergeCell ref="N30:O30"/>
    <mergeCell ref="N31:O31"/>
    <mergeCell ref="N32:O32"/>
    <mergeCell ref="N33:O33"/>
    <mergeCell ref="Q44:R44"/>
    <mergeCell ref="Q45:R45"/>
    <mergeCell ref="T13:U13"/>
    <mergeCell ref="T14:U14"/>
    <mergeCell ref="T15:U15"/>
    <mergeCell ref="T11:U11"/>
    <mergeCell ref="T16:U16"/>
    <mergeCell ref="T20:U20"/>
    <mergeCell ref="T21:U21"/>
    <mergeCell ref="T22:U22"/>
    <mergeCell ref="Q37:R37"/>
    <mergeCell ref="Q39:R39"/>
    <mergeCell ref="Q40:R40"/>
    <mergeCell ref="Q41:R41"/>
    <mergeCell ref="Q42:R42"/>
    <mergeCell ref="Q43:R43"/>
    <mergeCell ref="Q31:R31"/>
    <mergeCell ref="Q32:R32"/>
    <mergeCell ref="Q33:R33"/>
    <mergeCell ref="Q34:R34"/>
    <mergeCell ref="Q35:R35"/>
    <mergeCell ref="Q36:R36"/>
    <mergeCell ref="Q22:R22"/>
    <mergeCell ref="Q23:R23"/>
    <mergeCell ref="T34:U34"/>
    <mergeCell ref="T35:U35"/>
    <mergeCell ref="T36:U36"/>
    <mergeCell ref="T37:U37"/>
    <mergeCell ref="T23:U23"/>
    <mergeCell ref="T24:U24"/>
    <mergeCell ref="T25:U25"/>
    <mergeCell ref="T26:U26"/>
    <mergeCell ref="T30:U30"/>
    <mergeCell ref="T31:U31"/>
    <mergeCell ref="W24:X24"/>
    <mergeCell ref="W25:X25"/>
    <mergeCell ref="W26:X26"/>
    <mergeCell ref="W30:X30"/>
    <mergeCell ref="W31:X31"/>
    <mergeCell ref="W32:X32"/>
    <mergeCell ref="T45:U45"/>
    <mergeCell ref="W11:X11"/>
    <mergeCell ref="W13:X13"/>
    <mergeCell ref="W14:X14"/>
    <mergeCell ref="W15:X15"/>
    <mergeCell ref="W16:X16"/>
    <mergeCell ref="W20:X20"/>
    <mergeCell ref="W21:X21"/>
    <mergeCell ref="W22:X22"/>
    <mergeCell ref="W23:X23"/>
    <mergeCell ref="T39:U39"/>
    <mergeCell ref="T40:U40"/>
    <mergeCell ref="T41:U41"/>
    <mergeCell ref="T42:U42"/>
    <mergeCell ref="T43:U43"/>
    <mergeCell ref="T44:U44"/>
    <mergeCell ref="T32:U32"/>
    <mergeCell ref="T33:U33"/>
    <mergeCell ref="W40:X40"/>
    <mergeCell ref="W41:X41"/>
    <mergeCell ref="W42:X42"/>
    <mergeCell ref="W43:X43"/>
    <mergeCell ref="W44:X44"/>
    <mergeCell ref="W45:X45"/>
    <mergeCell ref="W33:X33"/>
    <mergeCell ref="W34:X34"/>
    <mergeCell ref="W35:X35"/>
    <mergeCell ref="W36:X36"/>
    <mergeCell ref="W37:X37"/>
    <mergeCell ref="W39:X39"/>
    <mergeCell ref="Z34:AA34"/>
    <mergeCell ref="Z35:AA35"/>
    <mergeCell ref="Z21:AA21"/>
    <mergeCell ref="Z22:AA22"/>
    <mergeCell ref="Z23:AA23"/>
    <mergeCell ref="Z24:AA24"/>
    <mergeCell ref="Z25:AA25"/>
    <mergeCell ref="Z26:AA26"/>
    <mergeCell ref="Z11:AA11"/>
    <mergeCell ref="Z13:AA13"/>
    <mergeCell ref="Z14:AA14"/>
    <mergeCell ref="Z15:AA15"/>
    <mergeCell ref="Z16:AA16"/>
    <mergeCell ref="Z20:AA20"/>
    <mergeCell ref="AC25:AD25"/>
    <mergeCell ref="AC26:AD26"/>
    <mergeCell ref="AC30:AD30"/>
    <mergeCell ref="AC32:AD32"/>
    <mergeCell ref="Z43:AA43"/>
    <mergeCell ref="Z44:AA44"/>
    <mergeCell ref="AC11:AD11"/>
    <mergeCell ref="AC13:AD13"/>
    <mergeCell ref="AC14:AD14"/>
    <mergeCell ref="AC15:AD15"/>
    <mergeCell ref="AC16:AD16"/>
    <mergeCell ref="AC20:AD20"/>
    <mergeCell ref="AC21:AD21"/>
    <mergeCell ref="AC22:AD22"/>
    <mergeCell ref="Z36:AA36"/>
    <mergeCell ref="Z37:AA37"/>
    <mergeCell ref="Z39:AA39"/>
    <mergeCell ref="Z40:AA40"/>
    <mergeCell ref="Z41:AA41"/>
    <mergeCell ref="Z42:AA42"/>
    <mergeCell ref="Z30:AA30"/>
    <mergeCell ref="Z31:AA31"/>
    <mergeCell ref="Z32:AA32"/>
    <mergeCell ref="Z33:AA33"/>
    <mergeCell ref="AC45:AD45"/>
    <mergeCell ref="AF11:AG11"/>
    <mergeCell ref="AF14:AG14"/>
    <mergeCell ref="AF13:AG13"/>
    <mergeCell ref="AF15:AG15"/>
    <mergeCell ref="AF16:AG16"/>
    <mergeCell ref="AF20:AG20"/>
    <mergeCell ref="AF21:AG21"/>
    <mergeCell ref="AF22:AG22"/>
    <mergeCell ref="AF23:AG23"/>
    <mergeCell ref="AC39:AD39"/>
    <mergeCell ref="AC40:AD40"/>
    <mergeCell ref="AC41:AD41"/>
    <mergeCell ref="AC42:AD42"/>
    <mergeCell ref="AC43:AD43"/>
    <mergeCell ref="AC44:AD44"/>
    <mergeCell ref="AC33:AD33"/>
    <mergeCell ref="AC31:AD31"/>
    <mergeCell ref="AC34:AD34"/>
    <mergeCell ref="AC35:AD35"/>
    <mergeCell ref="AC36:AD36"/>
    <mergeCell ref="AC37:AD37"/>
    <mergeCell ref="AC23:AD23"/>
    <mergeCell ref="AC24:AD24"/>
    <mergeCell ref="AF41:AG41"/>
    <mergeCell ref="AF42:AG42"/>
    <mergeCell ref="AF43:AG43"/>
    <mergeCell ref="AF44:AG44"/>
    <mergeCell ref="AF45:AG45"/>
    <mergeCell ref="AF33:AG33"/>
    <mergeCell ref="AF34:AG34"/>
    <mergeCell ref="AF35:AG35"/>
    <mergeCell ref="AF36:AG36"/>
    <mergeCell ref="AF37:AG37"/>
    <mergeCell ref="AF39:AG39"/>
    <mergeCell ref="AI25:AJ25"/>
    <mergeCell ref="AI26:AJ26"/>
    <mergeCell ref="AI11:AJ11"/>
    <mergeCell ref="AI13:AJ13"/>
    <mergeCell ref="AI14:AJ14"/>
    <mergeCell ref="AI15:AJ15"/>
    <mergeCell ref="AI16:AJ16"/>
    <mergeCell ref="AI20:AJ20"/>
    <mergeCell ref="AF40:AG40"/>
    <mergeCell ref="AF24:AG24"/>
    <mergeCell ref="AF25:AG25"/>
    <mergeCell ref="AF26:AG26"/>
    <mergeCell ref="AF30:AG30"/>
    <mergeCell ref="AF31:AG31"/>
    <mergeCell ref="AF32:AG32"/>
    <mergeCell ref="AI43:AJ43"/>
    <mergeCell ref="AI44:AJ44"/>
    <mergeCell ref="AI45:AJ45"/>
    <mergeCell ref="AF2:AG2"/>
    <mergeCell ref="N2:O2"/>
    <mergeCell ref="Q2:R2"/>
    <mergeCell ref="T2:U2"/>
    <mergeCell ref="W2:X2"/>
    <mergeCell ref="Z2:AA2"/>
    <mergeCell ref="AC2:AD2"/>
    <mergeCell ref="AI36:AJ36"/>
    <mergeCell ref="AI37:AJ37"/>
    <mergeCell ref="AI39:AJ39"/>
    <mergeCell ref="AI40:AJ40"/>
    <mergeCell ref="AI41:AJ41"/>
    <mergeCell ref="AI42:AJ42"/>
    <mergeCell ref="AI30:AJ30"/>
    <mergeCell ref="AI31:AJ31"/>
    <mergeCell ref="AI32:AJ32"/>
    <mergeCell ref="AI33:AJ33"/>
    <mergeCell ref="AI34:AJ34"/>
    <mergeCell ref="AI35:AJ35"/>
    <mergeCell ref="AI21:AJ21"/>
    <mergeCell ref="AI22:AJ22"/>
    <mergeCell ref="AL21:AM21"/>
    <mergeCell ref="AL22:AM22"/>
    <mergeCell ref="AL23:AM23"/>
    <mergeCell ref="AL24:AM24"/>
    <mergeCell ref="AI2:AJ2"/>
    <mergeCell ref="AL2:AM2"/>
    <mergeCell ref="AL11:AM11"/>
    <mergeCell ref="AL13:AM13"/>
    <mergeCell ref="AL14:AM14"/>
    <mergeCell ref="AL15:AM15"/>
    <mergeCell ref="AI23:AJ23"/>
    <mergeCell ref="AI24:AJ24"/>
    <mergeCell ref="AL41:AM41"/>
    <mergeCell ref="AL42:AM42"/>
    <mergeCell ref="AL43:AM43"/>
    <mergeCell ref="AL44:AM44"/>
    <mergeCell ref="AL45:AM45"/>
    <mergeCell ref="AO2:AP2"/>
    <mergeCell ref="AO11:AP11"/>
    <mergeCell ref="AO13:AP13"/>
    <mergeCell ref="AO14:AP14"/>
    <mergeCell ref="AO15:AP15"/>
    <mergeCell ref="AL34:AM34"/>
    <mergeCell ref="AL35:AM35"/>
    <mergeCell ref="AL36:AM36"/>
    <mergeCell ref="AL37:AM37"/>
    <mergeCell ref="AL39:AM39"/>
    <mergeCell ref="AL40:AM40"/>
    <mergeCell ref="AL25:AM25"/>
    <mergeCell ref="AL26:AM26"/>
    <mergeCell ref="AL30:AM30"/>
    <mergeCell ref="AL31:AM31"/>
    <mergeCell ref="AL32:AM32"/>
    <mergeCell ref="AL33:AM33"/>
    <mergeCell ref="AL16:AM16"/>
    <mergeCell ref="AL20:AM20"/>
    <mergeCell ref="AO25:AP25"/>
    <mergeCell ref="AO26:AP26"/>
    <mergeCell ref="AO30:AP30"/>
    <mergeCell ref="AO31:AP31"/>
    <mergeCell ref="AO32:AP32"/>
    <mergeCell ref="AO33:AP33"/>
    <mergeCell ref="AO16:AP16"/>
    <mergeCell ref="AO20:AP20"/>
    <mergeCell ref="AO21:AP21"/>
    <mergeCell ref="AO22:AP22"/>
    <mergeCell ref="AO23:AP23"/>
    <mergeCell ref="AO24:AP24"/>
    <mergeCell ref="AO41:AP41"/>
    <mergeCell ref="AO42:AP42"/>
    <mergeCell ref="AO43:AP43"/>
    <mergeCell ref="AO44:AP44"/>
    <mergeCell ref="AO45:AP45"/>
    <mergeCell ref="AO34:AP34"/>
    <mergeCell ref="AO35:AP35"/>
    <mergeCell ref="AO36:AP36"/>
    <mergeCell ref="AO37:AP37"/>
    <mergeCell ref="AO39:AP39"/>
    <mergeCell ref="AO40:AP40"/>
  </mergeCells>
  <conditionalFormatting sqref="D45:E45 G45:H45 J45:K45 M45:N45 P45:Q45 S45:T45 V45:W45 Y45:AC45 AE45:AF45">
    <cfRule type="cellIs" dxfId="164" priority="68" operator="equal">
      <formula>FALSE</formula>
    </cfRule>
    <cfRule type="cellIs" dxfId="163" priority="69" operator="equal">
      <formula>TRUE</formula>
    </cfRule>
    <cfRule type="beginsWith" dxfId="162" priority="70" operator="beginsWith" text="Durchgefallen">
      <formula>LEFT(D45,LEN("Durchgefallen"))="Durchgefallen"</formula>
    </cfRule>
    <cfRule type="beginsWith" dxfId="161" priority="71" operator="beginsWith" text="Bestanden">
      <formula>LEFT(D45,LEN("Bestanden"))="Bestanden"</formula>
    </cfRule>
  </conditionalFormatting>
  <conditionalFormatting sqref="F4:F9">
    <cfRule type="cellIs" dxfId="160" priority="59" stopIfTrue="1" operator="equal">
      <formula>" "</formula>
    </cfRule>
    <cfRule type="cellIs" dxfId="159" priority="66" operator="equal">
      <formula>FALSE</formula>
    </cfRule>
    <cfRule type="cellIs" dxfId="158" priority="67" operator="equal">
      <formula>TRUE</formula>
    </cfRule>
  </conditionalFormatting>
  <conditionalFormatting sqref="O4:O9">
    <cfRule type="cellIs" dxfId="157" priority="55" operator="equal">
      <formula>FALSE</formula>
    </cfRule>
    <cfRule type="cellIs" dxfId="156" priority="56" operator="equal">
      <formula>TRUE</formula>
    </cfRule>
  </conditionalFormatting>
  <conditionalFormatting sqref="R4:R9">
    <cfRule type="cellIs" dxfId="155" priority="53" operator="equal">
      <formula>FALSE</formula>
    </cfRule>
    <cfRule type="cellIs" dxfId="154" priority="54" operator="equal">
      <formula>TRUE</formula>
    </cfRule>
  </conditionalFormatting>
  <conditionalFormatting sqref="U4:U9">
    <cfRule type="cellIs" dxfId="153" priority="51" operator="equal">
      <formula>FALSE</formula>
    </cfRule>
    <cfRule type="cellIs" dxfId="152" priority="52" operator="equal">
      <formula>TRUE</formula>
    </cfRule>
  </conditionalFormatting>
  <conditionalFormatting sqref="X4:X9">
    <cfRule type="cellIs" dxfId="151" priority="49" operator="equal">
      <formula>FALSE</formula>
    </cfRule>
    <cfRule type="cellIs" dxfId="150" priority="50" operator="equal">
      <formula>TRUE</formula>
    </cfRule>
  </conditionalFormatting>
  <conditionalFormatting sqref="AA4:AA9">
    <cfRule type="cellIs" dxfId="149" priority="47" operator="equal">
      <formula>FALSE</formula>
    </cfRule>
    <cfRule type="cellIs" dxfId="148" priority="48" operator="equal">
      <formula>TRUE</formula>
    </cfRule>
  </conditionalFormatting>
  <conditionalFormatting sqref="AD4:AD9">
    <cfRule type="cellIs" dxfId="147" priority="45" operator="equal">
      <formula>FALSE</formula>
    </cfRule>
    <cfRule type="cellIs" dxfId="146" priority="46" operator="equal">
      <formula>TRUE</formula>
    </cfRule>
  </conditionalFormatting>
  <conditionalFormatting sqref="AG4:AG9">
    <cfRule type="cellIs" dxfId="145" priority="43" operator="equal">
      <formula>FALSE</formula>
    </cfRule>
    <cfRule type="cellIs" dxfId="144" priority="44" operator="equal">
      <formula>TRUE</formula>
    </cfRule>
  </conditionalFormatting>
  <conditionalFormatting sqref="AN45:AO45">
    <cfRule type="cellIs" dxfId="143" priority="9" operator="equal">
      <formula>FALSE</formula>
    </cfRule>
    <cfRule type="cellIs" dxfId="142" priority="10" operator="equal">
      <formula>TRUE</formula>
    </cfRule>
    <cfRule type="beginsWith" dxfId="141" priority="11" operator="beginsWith" text="Durchgefallen">
      <formula>LEFT(AN45,LEN("Durchgefallen"))="Durchgefallen"</formula>
    </cfRule>
    <cfRule type="beginsWith" dxfId="140" priority="12" operator="beginsWith" text="Bestanden">
      <formula>LEFT(AN45,LEN("Bestanden"))="Bestanden"</formula>
    </cfRule>
  </conditionalFormatting>
  <conditionalFormatting sqref="AP4:AP9">
    <cfRule type="cellIs" dxfId="139" priority="7" operator="equal">
      <formula>FALSE</formula>
    </cfRule>
    <cfRule type="cellIs" dxfId="138" priority="8" operator="equal">
      <formula>TRUE</formula>
    </cfRule>
  </conditionalFormatting>
  <conditionalFormatting sqref="AH45:AI45">
    <cfRule type="cellIs" dxfId="137" priority="21" operator="equal">
      <formula>FALSE</formula>
    </cfRule>
    <cfRule type="cellIs" dxfId="136" priority="22" operator="equal">
      <formula>TRUE</formula>
    </cfRule>
    <cfRule type="beginsWith" dxfId="135" priority="23" operator="beginsWith" text="Durchgefallen">
      <formula>LEFT(AH45,LEN("Durchgefallen"))="Durchgefallen"</formula>
    </cfRule>
    <cfRule type="beginsWith" dxfId="134" priority="24" operator="beginsWith" text="Bestanden">
      <formula>LEFT(AH45,LEN("Bestanden"))="Bestanden"</formula>
    </cfRule>
  </conditionalFormatting>
  <conditionalFormatting sqref="AJ4:AJ9">
    <cfRule type="cellIs" dxfId="133" priority="19" operator="equal">
      <formula>FALSE</formula>
    </cfRule>
    <cfRule type="cellIs" dxfId="132" priority="20" operator="equal">
      <formula>TRUE</formula>
    </cfRule>
  </conditionalFormatting>
  <conditionalFormatting sqref="AK45:AL45">
    <cfRule type="cellIs" dxfId="131" priority="15" operator="equal">
      <formula>FALSE</formula>
    </cfRule>
    <cfRule type="cellIs" dxfId="130" priority="16" operator="equal">
      <formula>TRUE</formula>
    </cfRule>
    <cfRule type="beginsWith" dxfId="129" priority="17" operator="beginsWith" text="Durchgefallen">
      <formula>LEFT(AK45,LEN("Durchgefallen"))="Durchgefallen"</formula>
    </cfRule>
    <cfRule type="beginsWith" dxfId="128" priority="18" operator="beginsWith" text="Bestanden">
      <formula>LEFT(AK45,LEN("Bestanden"))="Bestanden"</formula>
    </cfRule>
  </conditionalFormatting>
  <conditionalFormatting sqref="AM4:AM9">
    <cfRule type="cellIs" dxfId="127" priority="13" operator="equal">
      <formula>FALSE</formula>
    </cfRule>
    <cfRule type="cellIs" dxfId="126" priority="14" operator="equal">
      <formula>TRUE</formula>
    </cfRule>
  </conditionalFormatting>
  <conditionalFormatting sqref="I4:I9">
    <cfRule type="cellIs" dxfId="125" priority="4" stopIfTrue="1" operator="equal">
      <formula>" "</formula>
    </cfRule>
    <cfRule type="cellIs" dxfId="124" priority="5" operator="equal">
      <formula>FALSE</formula>
    </cfRule>
    <cfRule type="cellIs" dxfId="123" priority="6" operator="equal">
      <formula>TRUE</formula>
    </cfRule>
  </conditionalFormatting>
  <conditionalFormatting sqref="L4:L9">
    <cfRule type="cellIs" dxfId="122" priority="1" stopIfTrue="1" operator="equal">
      <formula>" "</formula>
    </cfRule>
    <cfRule type="cellIs" dxfId="121" priority="2" operator="equal">
      <formula>FALSE</formula>
    </cfRule>
    <cfRule type="cellIs" dxfId="120" priority="3" operator="equal">
      <formula>TRUE</formula>
    </cfRule>
  </conditionalFormatting>
  <pageMargins left="0.7" right="0.7" top="0.78740157499999996" bottom="0.78740157499999996" header="0.3" footer="0.3"/>
  <pageSetup paperSize="9" orientation="portrait" horizontalDpi="0" verticalDpi="0"/>
  <ignoredErrors>
    <ignoredError sqref="E39:E41 G39:H41 J39:K41 M39:N41 P39:Q41 S39:T41 V39:W41 Y39:Z41 AB39:AC41 AE39:AF41"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5194B7D2-83FE-094A-BE03-41EFEF6DDDB4}">
          <x14:formula1>
            <xm:f>Settings!$E$34:$E$36</xm:f>
          </x14:formula1>
          <xm:sqref>AP4:AP9 F4:F9 I4:I9 L4:L9 O4:O9 R4:R9 U4:U9 X4:X9 AA4:AA9 AD4:AD9 AG4:AG9 AJ4:AJ9 AM4:AM9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B4322-07E7-FD42-9B4C-1F4929F83DBA}">
  <sheetPr codeName="Tabelle12"/>
  <dimension ref="B1:F36"/>
  <sheetViews>
    <sheetView workbookViewId="0">
      <selection activeCell="F61" sqref="F61"/>
    </sheetView>
  </sheetViews>
  <sheetFormatPr baseColWidth="10" defaultRowHeight="16" x14ac:dyDescent="0.2"/>
  <cols>
    <col min="1" max="1" width="12.83203125" bestFit="1" customWidth="1"/>
    <col min="2" max="2" width="14.6640625" customWidth="1"/>
    <col min="4" max="4" width="12.83203125" bestFit="1" customWidth="1"/>
  </cols>
  <sheetData>
    <row r="1" spans="2:6" x14ac:dyDescent="0.2">
      <c r="B1" t="s">
        <v>140</v>
      </c>
      <c r="C1" t="s">
        <v>141</v>
      </c>
      <c r="D1" t="s">
        <v>19</v>
      </c>
      <c r="E1" t="s">
        <v>3</v>
      </c>
      <c r="F1" t="s">
        <v>148</v>
      </c>
    </row>
    <row r="2" spans="2:6" x14ac:dyDescent="0.2">
      <c r="B2" t="s">
        <v>102</v>
      </c>
      <c r="C2" t="s">
        <v>103</v>
      </c>
      <c r="D2" t="str" cm="1">
        <f t="array" aca="1" ref="D2" ca="1">INDIRECT("Gesamt!"&amp;C2&amp;"2")</f>
        <v>Statistics Gals</v>
      </c>
      <c r="E2" cm="1">
        <f t="array" aca="1" ref="E2" ca="1">IF(D2=0,"",INDIRECT("Gesamt!"&amp;B2&amp;"43"))</f>
        <v>14</v>
      </c>
      <c r="F2">
        <f ca="1">_xlfn.PERCENTRANK.INC($E$2:$E$14,E2)</f>
        <v>0.625</v>
      </c>
    </row>
    <row r="3" spans="2:6" x14ac:dyDescent="0.2">
      <c r="B3" t="s">
        <v>104</v>
      </c>
      <c r="C3" t="s">
        <v>105</v>
      </c>
      <c r="D3" t="str" cm="1">
        <f t="array" aca="1" ref="D3" ca="1">INDIRECT("Gesamt!"&amp;C3&amp;"2")</f>
        <v>Statistik DASJ</v>
      </c>
      <c r="E3" cm="1">
        <f t="array" aca="1" ref="E3" ca="1">IF(D3=0,"",INDIRECT("Gesamt!"&amp;B3&amp;"43"))</f>
        <v>7.5</v>
      </c>
      <c r="F3">
        <f t="shared" ref="F3:F14" ca="1" si="0">_xlfn.PERCENTRANK.INC($E$2:$E$14,E3)</f>
        <v>0.25</v>
      </c>
    </row>
    <row r="4" spans="2:6" x14ac:dyDescent="0.2">
      <c r="B4" t="s">
        <v>106</v>
      </c>
      <c r="C4" t="s">
        <v>107</v>
      </c>
      <c r="D4" t="str" cm="1">
        <f t="array" aca="1" ref="D4" ca="1">INDIRECT("Gesamt!"&amp;C4&amp;"2")</f>
        <v>Kreativität = 0</v>
      </c>
      <c r="E4" cm="1">
        <f t="array" aca="1" ref="E4" ca="1">IF(D4=0,"",INDIRECT("Gesamt!"&amp;B4&amp;"43"))</f>
        <v>14.000000000000002</v>
      </c>
      <c r="F4">
        <f t="shared" ca="1" si="0"/>
        <v>0.75</v>
      </c>
    </row>
    <row r="5" spans="2:6" x14ac:dyDescent="0.2">
      <c r="B5" t="s">
        <v>108</v>
      </c>
      <c r="C5" t="s">
        <v>109</v>
      </c>
      <c r="D5" t="str" cm="1">
        <f t="array" aca="1" ref="D5" ca="1">INDIRECT("Gesamt!"&amp;C5&amp;"2")</f>
        <v>Teamtastik</v>
      </c>
      <c r="E5" cm="1">
        <f t="array" aca="1" ref="E5" ca="1">IF(D5=0,"",INDIRECT("Gesamt!"&amp;B5&amp;"43"))</f>
        <v>1</v>
      </c>
      <c r="F5">
        <f t="shared" ca="1" si="0"/>
        <v>0</v>
      </c>
    </row>
    <row r="6" spans="2:6" x14ac:dyDescent="0.2">
      <c r="B6" t="s">
        <v>110</v>
      </c>
      <c r="C6" t="s">
        <v>111</v>
      </c>
      <c r="D6" t="str" cm="1">
        <f t="array" aca="1" ref="D6" ca="1">INDIRECT("Gesamt!"&amp;C6&amp;"2")</f>
        <v>Die Datenanalytiker</v>
      </c>
      <c r="E6" cm="1">
        <f t="array" aca="1" ref="E6" ca="1">IF(D6=0,"",INDIRECT("Gesamt!"&amp;B6&amp;"43"))</f>
        <v>3.5</v>
      </c>
      <c r="F6">
        <f t="shared" ca="1" si="0"/>
        <v>0.125</v>
      </c>
    </row>
    <row r="7" spans="2:6" x14ac:dyDescent="0.2">
      <c r="B7" t="s">
        <v>112</v>
      </c>
      <c r="C7" t="s">
        <v>113</v>
      </c>
      <c r="D7" t="str" cm="1">
        <f t="array" aca="1" ref="D7" ca="1">INDIRECT("Gesamt!"&amp;C7&amp;"2")</f>
        <v>Die Schalker</v>
      </c>
      <c r="E7" cm="1">
        <f t="array" aca="1" ref="E7" ca="1">IF(D7=0,"",INDIRECT("Gesamt!"&amp;B7&amp;"43"))</f>
        <v>18.5</v>
      </c>
      <c r="F7">
        <f t="shared" ca="1" si="0"/>
        <v>0.875</v>
      </c>
    </row>
    <row r="8" spans="2:6" x14ac:dyDescent="0.2">
      <c r="B8" t="s">
        <v>142</v>
      </c>
      <c r="C8" t="s">
        <v>143</v>
      </c>
      <c r="D8" t="str" cm="1">
        <f t="array" aca="1" ref="D8" ca="1">INDIRECT("Gesamt!"&amp;C8&amp;"2")</f>
        <v>JAMT</v>
      </c>
      <c r="E8" cm="1">
        <f t="array" aca="1" ref="E8" ca="1">IF(D8=0,"",INDIRECT("Gesamt!"&amp;B8&amp;"43"))</f>
        <v>8.5</v>
      </c>
      <c r="F8">
        <f t="shared" ca="1" si="0"/>
        <v>0.375</v>
      </c>
    </row>
    <row r="9" spans="2:6" x14ac:dyDescent="0.2">
      <c r="B9" t="s">
        <v>144</v>
      </c>
      <c r="C9" t="s">
        <v>145</v>
      </c>
      <c r="D9" t="str" cm="1">
        <f t="array" aca="1" ref="D9" ca="1">INDIRECT("Gesamt!"&amp;C9&amp;"2")</f>
        <v>Crystal Math</v>
      </c>
      <c r="E9" cm="1">
        <f t="array" aca="1" ref="E9" ca="1">IF(D9=0,"",INDIRECT("Gesamt!"&amp;B9&amp;"43"))</f>
        <v>9</v>
      </c>
      <c r="F9">
        <f t="shared" ca="1" si="0"/>
        <v>0.5</v>
      </c>
    </row>
    <row r="10" spans="2:6" x14ac:dyDescent="0.2">
      <c r="B10" t="s">
        <v>146</v>
      </c>
      <c r="C10" t="s">
        <v>147</v>
      </c>
      <c r="D10" t="str" cm="1">
        <f t="array" aca="1" ref="D10" ca="1">INDIRECT("Gesamt!"&amp;C10&amp;"2")</f>
        <v>Mineralwasser 3</v>
      </c>
      <c r="E10" cm="1">
        <f t="array" aca="1" ref="E10" ca="1">IF(D10=0,"",INDIRECT("Gesamt!"&amp;B10&amp;"43"))</f>
        <v>19</v>
      </c>
      <c r="F10">
        <f t="shared" ca="1" si="0"/>
        <v>1</v>
      </c>
    </row>
    <row r="11" spans="2:6" x14ac:dyDescent="0.2">
      <c r="B11" t="s">
        <v>304</v>
      </c>
      <c r="C11" t="s">
        <v>305</v>
      </c>
      <c r="D11" cm="1">
        <f t="array" aca="1" ref="D11" ca="1">INDIRECT("Gesamt!"&amp;C11&amp;"2")</f>
        <v>0</v>
      </c>
      <c r="E11" t="str" cm="1">
        <f t="array" aca="1" ref="E11" ca="1">IF(D11=0,"",INDIRECT("Gesamt!"&amp;B11&amp;"43"))</f>
        <v/>
      </c>
      <c r="F11" t="e">
        <f t="shared" ca="1" si="0"/>
        <v>#VALUE!</v>
      </c>
    </row>
    <row r="12" spans="2:6" x14ac:dyDescent="0.2">
      <c r="B12" t="s">
        <v>306</v>
      </c>
      <c r="C12" t="s">
        <v>307</v>
      </c>
      <c r="D12" cm="1">
        <f t="array" aca="1" ref="D12" ca="1">INDIRECT("Gesamt!"&amp;C12&amp;"2")</f>
        <v>0</v>
      </c>
      <c r="E12" t="str" cm="1">
        <f t="array" aca="1" ref="E12" ca="1">IF(D12=0,"",INDIRECT("Gesamt!"&amp;B12&amp;"43"))</f>
        <v/>
      </c>
      <c r="F12" t="e">
        <f t="shared" ca="1" si="0"/>
        <v>#VALUE!</v>
      </c>
    </row>
    <row r="13" spans="2:6" x14ac:dyDescent="0.2">
      <c r="B13" t="s">
        <v>308</v>
      </c>
      <c r="C13" t="s">
        <v>309</v>
      </c>
      <c r="D13" cm="1">
        <f t="array" aca="1" ref="D13" ca="1">INDIRECT("Gesamt!"&amp;C13&amp;"2")</f>
        <v>0</v>
      </c>
      <c r="E13" t="str" cm="1">
        <f t="array" aca="1" ref="E13" ca="1">IF(D13=0,"",INDIRECT("Gesamt!"&amp;B13&amp;"43"))</f>
        <v/>
      </c>
      <c r="F13" t="e">
        <f t="shared" ca="1" si="0"/>
        <v>#VALUE!</v>
      </c>
    </row>
    <row r="14" spans="2:6" x14ac:dyDescent="0.2">
      <c r="B14" t="s">
        <v>310</v>
      </c>
      <c r="C14" t="s">
        <v>311</v>
      </c>
      <c r="D14" cm="1">
        <f t="array" aca="1" ref="D14" ca="1">INDIRECT("Gesamt!"&amp;C14&amp;"2")</f>
        <v>0</v>
      </c>
      <c r="E14" t="str" cm="1">
        <f t="array" aca="1" ref="E14" ca="1">IF(D14=0,"",INDIRECT("Gesamt!"&amp;B14&amp;"43"))</f>
        <v/>
      </c>
      <c r="F14" t="e">
        <f t="shared" ca="1" si="0"/>
        <v>#VALUE!</v>
      </c>
    </row>
    <row r="31" spans="4:5" x14ac:dyDescent="0.2">
      <c r="D31" t="s">
        <v>313</v>
      </c>
      <c r="E31" t="str">
        <f ca="1">TEXT(TODAY(),"JJJJMMTT")</f>
        <v>20210810</v>
      </c>
    </row>
    <row r="34" spans="4:5" x14ac:dyDescent="0.2">
      <c r="D34" t="s">
        <v>312</v>
      </c>
      <c r="E34" s="157" t="b">
        <v>1</v>
      </c>
    </row>
    <row r="35" spans="4:5" x14ac:dyDescent="0.2">
      <c r="E35" s="157" t="b">
        <v>0</v>
      </c>
    </row>
    <row r="36" spans="4:5" x14ac:dyDescent="0.2">
      <c r="E36" s="157" t="s">
        <v>295</v>
      </c>
    </row>
  </sheetData>
  <pageMargins left="0.7" right="0.7" top="0.78740157499999996" bottom="0.78740157499999996"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2A1AB-C1A4-4145-BFA3-CDB1F10DA83B}">
  <sheetPr codeName="Tabelle4">
    <pageSetUpPr fitToPage="1"/>
  </sheetPr>
  <dimension ref="A1:G47"/>
  <sheetViews>
    <sheetView workbookViewId="0">
      <selection activeCell="F19" sqref="F19"/>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D</v>
      </c>
      <c r="E1" s="16" t="str">
        <f>SUBSTITUTE(ADDRESS(1,A2+1,4),"1","")</f>
        <v>E</v>
      </c>
      <c r="F1" s="16" t="str">
        <f>SUBSTITUTE(ADDRESS(1,A2+2,4),"1","")</f>
        <v>F</v>
      </c>
    </row>
    <row r="2" spans="1:7" ht="31" x14ac:dyDescent="0.35">
      <c r="A2" s="167">
        <v>4</v>
      </c>
      <c r="B2" s="194" t="str" cm="1">
        <f t="array" aca="1" ref="B2" ca="1">"Feedback - Gruppe: "&amp;IF(ISBLANK(INDIRECT("Gesamt!"&amp;E$1&amp;$A5)),"",INDIRECT("Gesamt!"&amp;E$1&amp;$A5))</f>
        <v>Feedback - Gruppe: Statistics Gals</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Statistics Gals</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30202465</v>
      </c>
      <c r="E7" s="48" t="str" cm="1">
        <f t="array" aca="1" ref="E7" ca="1">IF(ISBLANK(INDIRECT("Gesamt!"&amp;E$1&amp;$A7)),"",INDIRECT("Gesamt!"&amp;E$1&amp;$A7))</f>
        <v>Anna Müller</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30199433</v>
      </c>
      <c r="E8" s="48" t="str" cm="1">
        <f t="array" aca="1" ref="E8" ca="1">IF(ISBLANK(INDIRECT("Gesamt!"&amp;E$1&amp;$A8)),"",INDIRECT("Gesamt!"&amp;E$1&amp;$A8))</f>
        <v xml:space="preserve">Panchanok Asathai </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30189063</v>
      </c>
      <c r="E9" s="48" t="str" cm="1">
        <f t="array" aca="1" ref="E9" ca="1">IF(ISBLANK(INDIRECT("Gesamt!"&amp;E$1&amp;$A9)),"",INDIRECT("Gesamt!"&amp;E$1&amp;$A9))</f>
        <v xml:space="preserve">Lina Sachs </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30198324</v>
      </c>
      <c r="E10" s="48" t="str" cm="1">
        <f t="array" aca="1" ref="E10" ca="1">IF(ISBLANK(INDIRECT("Gesamt!"&amp;E$1&amp;$A10)),"",INDIRECT("Gesamt!"&amp;E$1&amp;$A10))</f>
        <v xml:space="preserve">Charlotte Hütter </v>
      </c>
      <c r="F10" s="160" t="b" cm="1">
        <f t="array" aca="1" ref="F10" ca="1">IF(ISBLANK(INDIRECT("Gesamt!"&amp;F$1&amp;$A10)),"",INDIRECT("Gesamt!"&amp;F$1&amp;$A10))</f>
        <v>1</v>
      </c>
      <c r="G10" s="108"/>
    </row>
    <row r="11" spans="1:7" ht="17" x14ac:dyDescent="0.2">
      <c r="A11">
        <v>8</v>
      </c>
      <c r="B11" s="63" t="str">
        <f ca="1">E7 &amp; " (Gruppensprecher)"</f>
        <v>Anna Müller (Gruppensprecher)</v>
      </c>
      <c r="C11" s="53" t="str" cm="1">
        <f t="array" aca="1" ref="C11" ca="1">IF(ISBLANK(INDIRECT("Gesamt!"&amp;C$1&amp;$A11)),"",INDIRECT("Gesamt!"&amp;C$1&amp;$A11))</f>
        <v/>
      </c>
      <c r="D11" s="48" cm="1">
        <f t="array" aca="1" ref="D11" ca="1">IF(ISBLANK(INDIRECT("Gesamt!"&amp;D$1&amp;$A11)),"",INDIRECT("Gesamt!"&amp;D$1&amp;$A11))</f>
        <v>30192111</v>
      </c>
      <c r="E11" s="48" t="str" cm="1">
        <f t="array" aca="1" ref="E11" ca="1">IF(ISBLANK(INDIRECT("Gesamt!"&amp;E$1&amp;$A11)),"",INDIRECT("Gesamt!"&amp;E$1&amp;$A11))</f>
        <v xml:space="preserve">Elisa Pott </v>
      </c>
      <c r="F11" s="160" t="b" cm="1">
        <f t="array" aca="1" ref="F11" ca="1">IF(ISBLANK(INDIRECT("Gesamt!"&amp;F$1&amp;$A11)),"",INDIRECT("Gesamt!"&amp;F$1&amp;$A11))</f>
        <v>1</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200" t="str" cm="1">
        <f t="array" aca="1" ref="D13" ca="1">IF(ISBLANK(INDIRECT("Gesamt!"&amp;D$1&amp;$A13)),"",INDIRECT("Gesamt!"&amp;D$1&amp;$A13))</f>
        <v>Gruppe: Statistics Gals</v>
      </c>
      <c r="E13" s="201"/>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153"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0.5</v>
      </c>
      <c r="E16" s="48" t="str" cm="1">
        <f t="array" aca="1" ref="E16" ca="1">IF(ISBLANK(INDIRECT("Gesamt!"&amp;E$1&amp;$A16)),"",INDIRECT("Gesamt!"&amp;E$1&amp;$A16))</f>
        <v xml:space="preserve">Es ist unklar wie die Forschungsfrage der Arbeit beantwortet werden soll. Der Datensatz enthält keine Angaben zur Auslastung. Diese kann auch nicht bestimmt oder ergänzt werden, da die Maximalkapazität oder der Fahrzeugtyp nicht bestimmbar sind. Entsprechend ist auch keine Bestimmung der "Senkung der Abgase" berechenbar und deren Einflussgrößen nicht ableitbar. Die einzige überprüfbare Hypothese ist die Behauptung, dass "die meisten Taxis nur mit einem Passagier besetzt sind" (Anteilswert der Taxis mit einem Passagier &lt; 0.5).   </v>
      </c>
    </row>
    <row r="17" spans="1:5" ht="102"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0.2</v>
      </c>
      <c r="E17" s="163" t="str" cm="1">
        <f t="array" aca="1" ref="E17" ca="1">IF(ISBLANK(INDIRECT("Gesamt!"&amp;E$1&amp;$A17)),"",INDIRECT("Gesamt!"&amp;E$1&amp;$A17))</f>
        <v>Die Motivation des Themas ist grundsätzlich nachvollziehbar. Die Argumentation weißt an vielen Stellen Defizite auf, so sagen die Autoren, dass "davon ausgegangen wird, dass die Optimierung einen positiven Einfluss auf den Umweltschutz haben", was zum einen ungenau formuliert und zum anderen nahezu Deckungsgleich mit dem Untersuchungsgegenstand ist.</v>
      </c>
    </row>
    <row r="18" spans="1:5" ht="86"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0.3</v>
      </c>
      <c r="E18" s="59" t="str" cm="1">
        <f t="array" aca="1" ref="E18" ca="1">IF(ISBLANK(INDIRECT("Gesamt!"&amp;E$1&amp;$A18)),"",INDIRECT("Gesamt!"&amp;E$1&amp;$A18))</f>
        <v>Das Deckblatt enthält ein Bild, Angabe zum genauen Datum der Arbeit fehlt, der Gruppensprecher ist nicht gekennzeichnet, der Titel der Arbeit ist zu Kurz sodass unklar ist was mit Optimierung gemeint ist. Die Arbeit hat abgesehen vom Blocksatz keine Formatierung (Kapitelmarken, Literaturverzeichnis, etc.).</v>
      </c>
    </row>
    <row r="19" spans="1:5" ht="290"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1</v>
      </c>
      <c r="E19" s="48" t="str" cm="1">
        <f t="array" aca="1" ref="E19" ca="1">IF(ISBLANK(INDIRECT("Gesamt!"&amp;E$1&amp;$A19)),"",INDIRECT("Gesamt!"&amp;E$1&amp;$A19))</f>
        <v>Veränderung des Fokus auf die Erklärung der Auslastung der Taxifahrten und Bestimmen der Determinanten dieser Auslastung. Reduktion der Diskussion zum Umweltschutz, vollständiger Verzicht auf Argumente zum CO2 Ausstoß. Berechnung einer Auslastungskennzahl pro Fahrt unter Hinzunahme von Annahmen (Kapazität einzelner Fahrzeuge notwendig, Begründung und Quellenangaben zwingend notwendig). Ableiten von Zeitvariablen (Idee: Wann ist Auslastung hoch? Wann niedrig? Finden einzelner Variablen dafür auf Basis der Zeitstempel). Vorschlag für eine analytische Methode (Anteilswertdifferenz wie in Hypothese vorgeschlagen. Auswahl einer weiteren analytischen Methode für die Erklärung (Zusammenhang) der Auslastung mit anderen Variablen. Ergänzen Sie in jedem Fall ein Quellenverzeichnis, nutzen Sie ein Programm zu Literaturverwaltung (Citavi/Zotero/Mendeley/etc.). Sie sollten erwähnen mit welcher Software Sie arbeiten, wie Sie die Verwendung von R korrekt zitieren finden sie mit der R-Funktion 'citation()' heraus.</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200" t="str" cm="1">
        <f t="array" aca="1" ref="D20" ca="1">IF(ISBLANK(INDIRECT("Gesamt!"&amp;D$1&amp;$A20)),"",INDIRECT("Gesamt!"&amp;D$1&amp;$A20))</f>
        <v>Gruppe: Statistics Gals</v>
      </c>
      <c r="E20" s="201"/>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136"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1</v>
      </c>
      <c r="E23" s="48" t="str" cm="1">
        <f t="array" aca="1" ref="E23" ca="1">IF(ISBLANK(INDIRECT("Gesamt!"&amp;E$1&amp;$A23)),"",INDIRECT("Gesamt!"&amp;E$1&amp;$A23))</f>
        <v xml:space="preserve">Lagemaße ok. Die Diskussion zu Streuungsmaßen ist nicht nachvollziehbar. Wieso sollte die Varianz erst durch die Standardabweichung aussagekräftige Werte liefern und im Kontext interpretiert werden können?  Die Varianz ist zudem nicht immer Größer als die Standardabweichung (dies suggerieren Sie auf S.7, nutzen aber  hier den undefinierten Begriff "Streuweite" und größere Varianz heißt auch nicht zwingend größere Spannweite). </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0.5</v>
      </c>
      <c r="E24" s="166" t="str" cm="1">
        <f t="array" aca="1" ref="E24" ca="1">IF(ISBLANK(INDIRECT("Gesamt!"&amp;E$1&amp;$A24)),"",INDIRECT("Gesamt!"&amp;E$1&amp;$A24))</f>
        <v xml:space="preserve">Die Interpretation des Korrelationskoeffizienten ist unvollständig. Ihre Formulierungen in Kap.1.4 sind unpräzise, unwissenschaftlich und nicht haltbar. </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v>
      </c>
      <c r="E25" s="166" t="str" cm="1">
        <f t="array" aca="1" ref="E25" ca="1">IF(ISBLANK(INDIRECT("Gesamt!"&amp;E$1&amp;$A25)),"",INDIRECT("Gesamt!"&amp;E$1&amp;$A25))</f>
        <v xml:space="preserve">Die Aussagen in Kapitel 2.1 zum Zusammenhang sind so nicht haltbar. Die Tatsache, dass Kurzstreckenfahrten mit 1-3 Passgieren ausgelastet sind, lässt keinen Schluss über den Zusammenhang der Merkmale Dauer und Passagieranzahl zu. </v>
      </c>
    </row>
    <row r="26" spans="1:5" ht="85"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0.25</v>
      </c>
      <c r="E26" s="166" t="str" cm="1">
        <f t="array" aca="1" ref="E26" ca="1">IF(ISBLANK(INDIRECT("Gesamt!"&amp;E$1&amp;$A26)),"",INDIRECT("Gesamt!"&amp;E$1&amp;$A26))</f>
        <v xml:space="preserve">Abb.1 verfolgt keinen erkennbaren Zweck und unterstützt den analytischen Zweck der Arbeit nicht. Die Achsenbeschriftung ist nicht sprechend. Der Informationsgehalt von Abb.2 ist so gering, dass die Grafik deutlich mehr Platz verbraucht als Einblicke liefert. Abb.3 ist keine adäquate Darstellung für die Verteilung der Daten. </v>
      </c>
    </row>
    <row r="27" spans="1:5" ht="136"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0.25</v>
      </c>
      <c r="E27" s="166" t="str" cm="1">
        <f t="array" aca="1" ref="E27" ca="1">IF(ISBLANK(INDIRECT("Gesamt!"&amp;E$1&amp;$A27)),"",INDIRECT("Gesamt!"&amp;E$1&amp;$A27))</f>
        <v>Das Kürzen des Datensatzes auf Fahrten mit maximal drei Passgieren ist nicht nachvollziehbar. Laut NYC Taxi &amp; Limousine Commision gibt es in New York keine Klasse von Taxis die nur drei Passgiere befördern können. Die Autoren listen zudem keine Quelle, die die Entscheidung transparent und nachvollziehbar gestaltet.  Der Aufbau der Arbeit ist nicht nachvollziehbar, zuerst werden Lagemaße berechnet, dann Zusammenhangsmaße, dann Streuungsmaße.</v>
      </c>
    </row>
    <row r="28" spans="1:5" ht="239"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0.5</v>
      </c>
      <c r="E28" s="59" t="str" cm="1">
        <f t="array" aca="1" ref="E28" ca="1">IF(ISBLANK(INDIRECT("Gesamt!"&amp;E$1&amp;$A28)),"",INDIRECT("Gesamt!"&amp;E$1&amp;$A28))</f>
        <v xml:space="preserve">Ein Literaturverzeichnis das eine Quelle mit dem Titel "Klimaprojekt der 7c" enthält ist für eine wissenschaftliche Arbeit an einer Hochschule unangemessen. Das verwendete Dezimaltrennzeichen ist nicht konsistent. Aussagen der Form "aus der Berechnung mit dem R-System" sind keine adäquaten Aussagen (Kommt etwas anderes raus, wenn Sie händisch rechnen?). Die Arbeit enthält ohne Erkennbaren Grund ein Kapitel Exposé und Zwischenabgabe, aber keine ordentliche vereinheitlichte Einleitung. Die Ausdrucksweise ist an vielen Stellen mangelhaft (z.B. S.5 "... der Durchschnitt einer Taxifahrt in New York beträgt...", S.7 "Das Ergebnis der untersuchen Korrelation zeigt, dass die tatsächliche Dauer der Fahrt positiv mit der Distanz der Route korreliert."). Nahezu keine der gezeigten Ergebnisse ist auf 4 Nachkommastellen gerundet. </v>
      </c>
    </row>
    <row r="29" spans="1:5" ht="409.6"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2.5</v>
      </c>
      <c r="E29" s="48" t="str" cm="1">
        <f t="array" aca="1" ref="E29" ca="1">IF(ISBLANK(INDIRECT("Gesamt!"&amp;E$1&amp;$A29)),"",INDIRECT("Gesamt!"&amp;E$1&amp;$A29))</f>
        <v xml:space="preserve">Präzisieren Sie ihre Ausdrucksweise (Was sollen ungefähr 9000 Beobachtungen sein, wieso sind Sie einmal genau und einmal ungenau (S.3 und S.2 bezüglich  dieser Aussage) und nutzen sie Fachvokabular (S.6 Sie erstellen keine Datensätze). Wieso sollte es unbedenklich sein 16 Beobachtungen zu streichen? Begründen Sie besser schlüssig warum die Beobachtungen entfern werden sollen.). Konzentrieren sie sich auf die Beschreibung des Inhaltes und Ergebnisses, nicht auf Abläufe. Ob sie den "summary()" Befehl benutzt haben interessiert keinen Leser. Übernehmen Sie Verantwortung für Ihre Aussagen und schieben Sie diese nicht auf "das R-System" ab. Sie sind Autoren der Arbeit und müssen die inhaltliche Korrektheit der Ergebnisse garantieren. Wenn Sei eine Aussage treffen wollen tun sie dies direkt und ohne Umwege (Sie argumentieren über die Quantile (die übrigens Lagemaße und keine Streuungsmaße sind) das der Anteil von Fahrten mit einem Passagier über 75% liegen muss. Zu den Häufigkeiten haben Sie sich ja aber vorher schon geäußert. Verzichten Sei auf Zusammenhänge die Sie nicht herstellen können, wie die Argumentation zur Kurzstrecke (S.8). Wieso sollte ihre willkürliche Unterteilung Vergleichbarkeit schaffen (S.8)? Vereinheitlichen Sie die deskriptive Statistik und Trennen sie die Betrachtung einzelner Variablen (Vorstellung der Daten) von der Analyse von Zusammenhängen. Legen sie sich auf ein Analyseziel fest. Zitieren sie fachgerecht (S.6 "siehe Spiegel Reisen" ist keine ordentliche Quellenangabe, ein deutsches Magazin zudem für regulatorische Maßnahmen in andren Ländern ungeeignet). Stellen Sie Inhalte als Tabellen dar und beschreiben sie diese fachgerecht (z.B. S.6 oben). Verzichten sie auf die Analyse von Häufigkeiten für metrische Merkmale ohne vorherige Klassifizierung (S.4). Nutzen sie den Formelmodus wo notwendig (km^2). </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200" t="str" cm="1">
        <f t="array" aca="1" ref="D30" ca="1">IF(ISBLANK(INDIRECT("Gesamt!"&amp;D$1&amp;$A30)),"",INDIRECT("Gesamt!"&amp;D$1&amp;$A30))</f>
        <v>Gruppe: Statistics Gals</v>
      </c>
      <c r="E30" s="201"/>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1.5</v>
      </c>
      <c r="E33" s="48" t="str" cm="1">
        <f t="array" aca="1" ref="E33" ca="1">IF(ISBLANK(INDIRECT("Gesamt!"&amp;E$1&amp;$A33)),"",INDIRECT("Gesamt!"&amp;E$1&amp;$A33))</f>
        <v>Ausführungen weitgehend ok, unklar ist jedoch wieso die Autoren Streuungsmaße als groß oder klein deklarieren (z.B. Kap.2.2) Irritierend sind hier vor allem die Ausführungen zu Spannweite (z.B. Abschitt "Fahrtdauer und Fahrtstrecke"). Die Darstellung zum Fahrtzeitpunkt ist nicht nachvollziehbar, die erstellte Hilfsvariable "Tageszeit" (Abb.5) nicht erkäutet. Wann für die Autoren z.B. "Morgens" ist ist unklar.</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2.5</v>
      </c>
      <c r="E34" s="166" t="str" cm="1">
        <f t="array" aca="1" ref="E34" ca="1">IF(ISBLANK(INDIRECT("Gesamt!"&amp;E$1&amp;$A34)),"",INDIRECT("Gesamt!"&amp;E$1&amp;$A34))</f>
        <v>Chi-Quadrat-Test: Die Auswahl des Tests ist nicht begründet, das genaue Testsezanrio nicht benannt. Der Wert der berechenten Teststatistik wird nicht gezeigt und die Argumentation stützt sich weitgehend blind auf p-Werte.</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2.5</v>
      </c>
      <c r="E35" s="166" t="str" cm="1">
        <f t="array" aca="1" ref="E35" ca="1">IF(ISBLANK(INDIRECT("Gesamt!"&amp;E$1&amp;$A35)),"",INDIRECT("Gesamt!"&amp;E$1&amp;$A35))</f>
        <v>Regression: Die Ergebnisse sind nicht adäquat dargestellt. Due Atuoren zeigen weder Standardabweichung noch t-Statistiken der bestimmten Schätzer. Die Variablen sind generisch mit "x" bezeichnet, was die Interpretation schwer nachvollzihebar macht. Die Variable "Monat zu Beginn der Fahrt" wurde nicht beschrieben. Die Einbettugn als metrische Größe ist ungerechtfertigt.</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1.5</v>
      </c>
      <c r="E36" s="166" t="str" cm="1">
        <f t="array" aca="1" ref="E36" ca="1">IF(ISBLANK(INDIRECT("Gesamt!"&amp;E$1&amp;$A36)),"",INDIRECT("Gesamt!"&amp;E$1&amp;$A36))</f>
        <v xml:space="preserve">Die Argumentation ist in weiten Teilen schlüssig und nachvollziehbar. Kap.2.3 zeigt hier jedoch defizite, da ohne die Durchführung eines Test von Signifikanz gesprochen wird. </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1.5</v>
      </c>
      <c r="E37" s="166" t="str" cm="1">
        <f t="array" aca="1" ref="E37" ca="1">IF(ISBLANK(INDIRECT("Gesamt!"&amp;E$1&amp;$A37)),"",INDIRECT("Gesamt!"&amp;E$1&amp;$A37))</f>
        <v xml:space="preserve">Die aufgeworfenen Fragen wurden in akzeptabler Teife beantwortet.  </v>
      </c>
    </row>
    <row r="38" spans="1:5" ht="85"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0.5</v>
      </c>
      <c r="E38" s="166" t="str" cm="1">
        <f t="array" aca="1" ref="E38" ca="1">IF(ISBLANK(INDIRECT("Gesamt!"&amp;E$1&amp;$A38)),"",INDIRECT("Gesamt!"&amp;E$1&amp;$A38))</f>
        <v>Die Arbeit zeigt keine Seitenzahlen. Es werden nur zwei Untergliederungsebenen gezeigt, faktisch aber drei verwendet (z.B. Kap.2). Die Arbeit listet im Literaturverzeichnis lediglich eine Quelle. Grafiken sind nicht konsistent in der formtierung und Achsenbeschriftung.</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0.5</v>
      </c>
      <c r="E39" s="59" t="str" cm="1">
        <f t="array" aca="1" ref="E39" ca="1">IF(ISBLANK(INDIRECT("Gesamt!"&amp;E$1&amp;$A39)),"",INDIRECT("Gesamt!"&amp;E$1&amp;$A39))</f>
        <v>Die R-Datei ist schwach strukturiert, enthält keine Erläuterungen und enthält überflüssige Befehle (z.B. attach).</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10.5</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200" t="str" cm="1">
        <f t="array" aca="1" ref="D41" ca="1">IF(ISBLANK(INDIRECT("Gesamt!"&amp;D$1&amp;$A41)),"",INDIRECT("Gesamt!"&amp;D$1&amp;$A41))</f>
        <v>Gruppe: Statistics Gals</v>
      </c>
      <c r="E41" s="201"/>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1</v>
      </c>
      <c r="E42" s="48" t="str" cm="1">
        <f t="array" aca="1" ref="E42" ca="1">IF(ISBLANK(INDIRECT("Gesamt!"&amp;E$1&amp;$A42)),"",INDIRECT("Gesamt!"&amp;E$1&amp;$A42))</f>
        <v>(50,0 %)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2.5</v>
      </c>
      <c r="E43" s="48" t="str" cm="1">
        <f t="array" aca="1" ref="E43" ca="1">IF(ISBLANK(INDIRECT("Gesamt!"&amp;E$1&amp;$A43)),"",INDIRECT("Gesamt!"&amp;E$1&amp;$A43))</f>
        <v>(31,3 %)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10.5</v>
      </c>
      <c r="E44" s="59" t="str" cm="1">
        <f t="array" aca="1" ref="E44" ca="1">IF(ISBLANK(INDIRECT("Gesamt!"&amp;E$1&amp;$A44)),"",INDIRECT("Gesamt!"&amp;E$1&amp;$A44))</f>
        <v>(70,0 %)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14</v>
      </c>
      <c r="E45" s="55" t="str" cm="1">
        <f t="array" aca="1" ref="E45" ca="1">IF(ISBLANK(INDIRECT("Gesamt!"&amp;E$1&amp;$A45)),"",INDIRECT("Gesamt!"&amp;E$1&amp;$A45))</f>
        <v>(56,0 %)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14</v>
      </c>
      <c r="E46" s="55" t="str" cm="1">
        <f t="array" aca="1" ref="E46" ca="1">IF(ISBLANK(INDIRECT("Gesamt!"&amp;E$1&amp;$A46)),"",INDIRECT("Gesamt!"&amp;E$1&amp;$A46))</f>
        <v>(56,0 %)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0.625</v>
      </c>
      <c r="E47" s="62" t="str" cm="1">
        <f t="array" aca="1" ref="E47" ca="1">IF(ISBLANK(INDIRECT("Gesamt!"&amp;E$1&amp;$A47)),"",INDIRECT("Gesamt!"&amp;E$1&amp;$A47))</f>
        <v>( C )</v>
      </c>
    </row>
  </sheetData>
  <mergeCells count="6">
    <mergeCell ref="D41:E41"/>
    <mergeCell ref="B2:E2"/>
    <mergeCell ref="B3:E3"/>
    <mergeCell ref="D13:E13"/>
    <mergeCell ref="D20:E20"/>
    <mergeCell ref="D30:E30"/>
  </mergeCells>
  <conditionalFormatting sqref="E7">
    <cfRule type="expression" dxfId="119" priority="7">
      <formula>F7=FALSE</formula>
    </cfRule>
  </conditionalFormatting>
  <conditionalFormatting sqref="D7">
    <cfRule type="expression" dxfId="118" priority="1">
      <formula>F7=FALSE</formula>
    </cfRule>
  </conditionalFormatting>
  <conditionalFormatting sqref="E8">
    <cfRule type="expression" dxfId="117" priority="8">
      <formula>F8=FALSE</formula>
    </cfRule>
  </conditionalFormatting>
  <conditionalFormatting sqref="D8">
    <cfRule type="expression" dxfId="116" priority="2">
      <formula>F8=FALSE</formula>
    </cfRule>
  </conditionalFormatting>
  <conditionalFormatting sqref="D9">
    <cfRule type="expression" dxfId="115" priority="3">
      <formula>F9=FALSE</formula>
    </cfRule>
  </conditionalFormatting>
  <conditionalFormatting sqref="D10">
    <cfRule type="expression" dxfId="114" priority="4">
      <formula>F10=FALSE</formula>
    </cfRule>
  </conditionalFormatting>
  <conditionalFormatting sqref="D11">
    <cfRule type="expression" dxfId="113" priority="5">
      <formula>F11=FALSE</formula>
    </cfRule>
  </conditionalFormatting>
  <conditionalFormatting sqref="D12">
    <cfRule type="expression" dxfId="112" priority="6">
      <formula>F12=FALSE</formula>
    </cfRule>
  </conditionalFormatting>
  <conditionalFormatting sqref="E9">
    <cfRule type="expression" dxfId="111" priority="9">
      <formula>F9=FALSE</formula>
    </cfRule>
  </conditionalFormatting>
  <conditionalFormatting sqref="E10">
    <cfRule type="expression" dxfId="110" priority="10">
      <formula>F10=FALSE</formula>
    </cfRule>
  </conditionalFormatting>
  <conditionalFormatting sqref="E11">
    <cfRule type="expression" dxfId="109" priority="11">
      <formula>F11=FALSE</formula>
    </cfRule>
  </conditionalFormatting>
  <conditionalFormatting sqref="E12">
    <cfRule type="expression" dxfId="108"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38D21-B2BC-0240-81BA-3EF1956A8FFC}">
  <sheetPr codeName="Tabelle5">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G</v>
      </c>
      <c r="E1" s="16" t="str">
        <f>SUBSTITUTE(ADDRESS(1,A2+1,4),"1","")</f>
        <v>H</v>
      </c>
      <c r="F1" s="16" t="str">
        <f>SUBSTITUTE(ADDRESS(1,A2+2,4),"1","")</f>
        <v>I</v>
      </c>
    </row>
    <row r="2" spans="1:7" ht="31" x14ac:dyDescent="0.35">
      <c r="A2" s="167">
        <v>7</v>
      </c>
      <c r="B2" s="194" t="str" cm="1">
        <f t="array" aca="1" ref="B2" ca="1">"Feedback - Gruppe: "&amp;IF(ISBLANK(INDIRECT("Gesamt!"&amp;E$1&amp;$A5)),"",INDIRECT("Gesamt!"&amp;E$1&amp;$A5))</f>
        <v>Feedback - Gruppe: Statistik DASJ</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Statistik DASJ</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30198775</v>
      </c>
      <c r="E7" s="48" t="str" cm="1">
        <f t="array" aca="1" ref="E7" ca="1">IF(ISBLANK(INDIRECT("Gesamt!"&amp;E$1&amp;$A7)),"",INDIRECT("Gesamt!"&amp;E$1&amp;$A7))</f>
        <v xml:space="preserve">Diana Alexandra Gheorghe </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30198379</v>
      </c>
      <c r="E8" s="48" t="str" cm="1">
        <f t="array" aca="1" ref="E8" ca="1">IF(ISBLANK(INDIRECT("Gesamt!"&amp;E$1&amp;$A8)),"",INDIRECT("Gesamt!"&amp;E$1&amp;$A8))</f>
        <v xml:space="preserve">Julia Sophie Granderath </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30198618</v>
      </c>
      <c r="E9" s="48" t="str" cm="1">
        <f t="array" aca="1" ref="E9" ca="1">IF(ISBLANK(INDIRECT("Gesamt!"&amp;E$1&amp;$A9)),"",INDIRECT("Gesamt!"&amp;E$1&amp;$A9))</f>
        <v xml:space="preserve">Sandra Sophie Flemmig </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30198720</v>
      </c>
      <c r="E10" s="48" t="str" cm="1">
        <f t="array" aca="1" ref="E10" ca="1">IF(ISBLANK(INDIRECT("Gesamt!"&amp;E$1&amp;$A10)),"",INDIRECT("Gesamt!"&amp;E$1&amp;$A10))</f>
        <v xml:space="preserve">Amanda Marques Greve </v>
      </c>
      <c r="F10" s="160" t="b" cm="1">
        <f t="array" aca="1" ref="F10" ca="1">IF(ISBLANK(INDIRECT("Gesamt!"&amp;F$1&amp;$A10)),"",INDIRECT("Gesamt!"&amp;F$1&amp;$A10))</f>
        <v>1</v>
      </c>
      <c r="G10" s="108"/>
    </row>
    <row r="11" spans="1:7" ht="17" x14ac:dyDescent="0.2">
      <c r="A11">
        <v>8</v>
      </c>
      <c r="B11" s="63" t="str">
        <f ca="1">E7 &amp; " (Gruppensprecher)"</f>
        <v>Diana Alexandra Gheorghe  (Gruppensprecher)</v>
      </c>
      <c r="C11" s="53" t="str" cm="1">
        <f t="array" aca="1" ref="C11" ca="1">IF(ISBLANK(INDIRECT("Gesamt!"&amp;C$1&amp;$A11)),"",INDIRECT("Gesamt!"&amp;C$1&amp;$A11))</f>
        <v/>
      </c>
      <c r="D11" s="48" t="str" cm="1">
        <f t="array" aca="1" ref="D11" ca="1">IF(ISBLANK(INDIRECT("Gesamt!"&amp;D$1&amp;$A11)),"",INDIRECT("Gesamt!"&amp;D$1&amp;$A11))</f>
        <v/>
      </c>
      <c r="E11" s="48" t="str" cm="1">
        <f t="array" aca="1" ref="E11" ca="1">IF(ISBLANK(INDIRECT("Gesamt!"&amp;E$1&amp;$A11)),"",INDIRECT("Gesamt!"&amp;E$1&amp;$A11))</f>
        <v/>
      </c>
      <c r="F11" s="160" t="str" cm="1">
        <f t="array" aca="1" ref="F11" ca="1">IF(ISBLANK(INDIRECT("Gesamt!"&amp;F$1&amp;$A11)),"",INDIRECT("Gesamt!"&amp;F$1&amp;$A11))</f>
        <v xml:space="preserve"> </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Statistik DASJ</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68"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0.6</v>
      </c>
      <c r="E16" s="48" t="str" cm="1">
        <f t="array" aca="1" ref="E16" ca="1">IF(ISBLANK(INDIRECT("Gesamt!"&amp;E$1&amp;$A16)),"",INDIRECT("Gesamt!"&amp;E$1&amp;$A16))</f>
        <v>Die Autoren listen drei Hypothesen, diese sind jedoch vollkommen unbegründet. Die Fragestellung "Wie verhält sich die Taxinutzung in NewYork?" ist unzureichend spezifiziert, grammatikalisch problematisch  und  hat keinen direkten Bezug zur Frage in 1.1.</v>
      </c>
    </row>
    <row r="17" spans="1:5" ht="119"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0.2</v>
      </c>
      <c r="E17" s="163" t="str" cm="1">
        <f t="array" aca="1" ref="E17" ca="1">IF(ISBLANK(INDIRECT("Gesamt!"&amp;E$1&amp;$A17)),"",INDIRECT("Gesamt!"&amp;E$1&amp;$A17))</f>
        <v xml:space="preserve">Das Kapitel "verwendete Quellen" enthält keine Quellenverweise sondern ist nur eine Auflistung der im Datensatz enthaltenen Variablen. Ordentliche Quellenangaben fehlen. Wie die Aufgeworfenen Fragestellungen beantwortet werden (welche Variablen konkret genutzt werden) oder wie dabei vorgegangen wird ist unklar. die Teilkapitel hängen nur lose zusammen und bauen nicht wirklich aufeinander auf. </v>
      </c>
    </row>
    <row r="18" spans="1:5" ht="205"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0.2</v>
      </c>
      <c r="E18" s="59" t="str" cm="1">
        <f t="array" aca="1" ref="E18" ca="1">IF(ISBLANK(INDIRECT("Gesamt!"&amp;E$1&amp;$A18)),"",INDIRECT("Gesamt!"&amp;E$1&amp;$A18))</f>
        <v xml:space="preserve">Das Deckblatt ist ohne erkennbaren Grund und ohne inhaltlichen Bezug farbenfroh, der Gruppensprecher auf dem Deckblatt nicht gekennzeichnet, das Inhaltsverzeichnis enthält wie die Angabe zur Seitenzahl das englische Wort "Page",  das Inhaltsverzeichnis ist nicht ordentlich durch eine Textverarbeitung automatisch generiert. Der Schreibstil ist unwissenschaftlich und umgangssprachlich ("zugeströmt", "eins der meist bevölkersten Städte"). Die Rechtschreibung, Zeichensetzung, etc. weißt zahlreiche Mängel auf (unnötige Punkte, doppelte Leerzeichen). Zahlreiche Aussagen sind unbelegt (zudem fehlt ein Quellenverzeichnis). Irritierenderweise enthält das Exposé einen Ausblick. </v>
      </c>
    </row>
    <row r="19" spans="1:5" ht="290"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1</v>
      </c>
      <c r="E19" s="48" t="str" cm="1">
        <f t="array" aca="1" ref="E19" ca="1">IF(ISBLANK(INDIRECT("Gesamt!"&amp;E$1&amp;$A19)),"",INDIRECT("Gesamt!"&amp;E$1&amp;$A19))</f>
        <v>Die aufgeworfenen Hypothesen müssen begründet werden (Freitag/15 Minuten/20km). Alle anderen Kapitel der Einleitung sollten genau darauf hinleiten wieso Sie die entsprechenden Hypothesen aufgeworfen haben und wieso dies schlüssig und interessant ist. Für den Untersuchungsgegenstand ist es anzuraten, sich auf eine Zielgröße (Distanz oder Dauer) zu beschränken und den Verlauf der Argumentation daran auszurichten. Vorschlag: Die durchschnittliche Länge (Wegstrecke) einer Taxifahrt ist abhängig von gewissen Größen (Wochentag, Uhrzeit, etc.). Fokussieren Sie auf die Variablen und sagen Sie genau wieso sie diese einbeziehen (Was können diese zur Überprüfung der Hypothesen beitragen?). Ergänzen Sie in jedem Fall ein Quellenverzeichnis, nutzen Sie ein Programm zu Literaturverwaltung (Citavi/Zotero/Mendeley/etc.). Sie sollten erwähnen mit welcher Software Sie arbeiten, wie Sie die Verwendung von R korrekt zitieren finden sie mit der R-Funktion 'citation()' heraus.</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Statistik DASJ</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68"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1</v>
      </c>
      <c r="E23" s="48" t="str" cm="1">
        <f t="array" aca="1" ref="E23" ca="1">IF(ISBLANK(INDIRECT("Gesamt!"&amp;E$1&amp;$A23)),"",INDIRECT("Gesamt!"&amp;E$1&amp;$A23))</f>
        <v>Lagemaße ok. Streuungsmaße finden sich nur im Anhang und spielen im Text keine bewertbare Rolle.</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v>
      </c>
      <c r="E24" s="166" t="str" cm="1">
        <f t="array" aca="1" ref="E24" ca="1">IF(ISBLANK(INDIRECT("Gesamt!"&amp;E$1&amp;$A24)),"",INDIRECT("Gesamt!"&amp;E$1&amp;$A24))</f>
        <v>Zusammenhangsmaße wurden nicht berechnet.</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v>
      </c>
      <c r="E25" s="166" t="str" cm="1">
        <f t="array" aca="1" ref="E25" ca="1">IF(ISBLANK(INDIRECT("Gesamt!"&amp;E$1&amp;$A25)),"",INDIRECT("Gesamt!"&amp;E$1&amp;$A25))</f>
        <v>Ergänzende Berechnungen sind nicht im Text integriert.</v>
      </c>
    </row>
    <row r="26" spans="1:5" ht="85"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0.25</v>
      </c>
      <c r="E26" s="166" t="str" cm="1">
        <f t="array" aca="1" ref="E26" ca="1">IF(ISBLANK(INDIRECT("Gesamt!"&amp;E$1&amp;$A26)),"",INDIRECT("Gesamt!"&amp;E$1&amp;$A26))</f>
        <v>Die Arbeit enthält keine Diagramme, lediglich Screenshots im Anhang, die nicht in den Text eingebettet sind, unvollständig beschrieben werden und falsch nummeriert sind. Beide Darstellungen rechtfertigen den beanspruchten Raum weder durch Informationsgehalt noch durch Aussagekraft.</v>
      </c>
    </row>
    <row r="27" spans="1:5" ht="136"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0.25</v>
      </c>
      <c r="E27" s="166" t="str" cm="1">
        <f t="array" aca="1" ref="E27" ca="1">IF(ISBLANK(INDIRECT("Gesamt!"&amp;E$1&amp;$A27)),"",INDIRECT("Gesamt!"&amp;E$1&amp;$A27))</f>
        <v>Die sprachlich genannten "Hypothesen" werden nicht in statistische Hypothesen überführt, ohne Hypothesentest verifiziert oder falsifiziert und die Ausführungen erwecken den Eindruck mangelnder Durchdringung des Themas. Die Intention der zu erzielenden Aussagen (Verwendung der Erkenntnisse im Sachkontext) verfolgt gut nachvollziehbare Intentionen, die leider nicht mit statistischen Mitteln belegt sind und daher als gegenstandslos gelten müssen.</v>
      </c>
    </row>
    <row r="28" spans="1:5" ht="239"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0.5</v>
      </c>
      <c r="E28" s="59" t="str" cm="1">
        <f t="array" aca="1" ref="E28" ca="1">IF(ISBLANK(INDIRECT("Gesamt!"&amp;E$1&amp;$A28)),"",INDIRECT("Gesamt!"&amp;E$1&amp;$A28))</f>
        <v>Ein Reiseblog ist keine adäquate Quelle für die Kosten der Taxifahrt. Die NYC Taxi &amp; Limousine Comission veröffentlicht die offiziellen und differenzierten Kosten einer Taxifahrt. Die Ausdrucksweise ist teilweise stark defizitär (z.B. S.3 "Daten werden auf Hypothesen untersucht"). Das Literaturverzeichnis ist unvollständig, die angesprochene Quelle von Karney ist nicht enthalten. was das Kapitel "Datenbeschreibung mit Hilfe der deskriptiven Statistik" zum Sachgegenstand der Arbeit beiträgt ist unklar, da dieses keine Ergebnisse  und nur eine generische und unvollständige Formel enthält. Tabellen sind keine Abbildungen sondern Tabellen. keine der gezeigten Zahlen ist auf 4 Nachkommastellen gerundet. Der kopierte R-Output der als Abb.3 bezeichnet wird ist für die Integration in eine wissenschaftliche Arbeit unangemessen formatiert.</v>
      </c>
    </row>
    <row r="29" spans="1:5" ht="103"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2</v>
      </c>
      <c r="E29" s="48" t="str" cm="1">
        <f t="array" aca="1" ref="E29" ca="1">IF(ISBLANK(INDIRECT("Gesamt!"&amp;E$1&amp;$A29)),"",INDIRECT("Gesamt!"&amp;E$1&amp;$A29))</f>
        <v>Konzentrieren Sie sich auf Ergebnisse und die inhaltliche Beschreibung, anstatt auf Abläufe. Wenn Sei R verwenden, dann zitieren Sie das System entsprechend. R-Studio ist kein Statistikprogramm. Ergänzen Sie die Zwischenabgabe erforderlichen Maßzahlen, integrieren Sei dies ein den Textteil und interpretieren sie diese.</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Statistik DASJ</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0.5</v>
      </c>
      <c r="E33" s="48" t="str" cm="1">
        <f t="array" aca="1" ref="E33" ca="1">IF(ISBLANK(INDIRECT("Gesamt!"&amp;E$1&amp;$A33)),"",INDIRECT("Gesamt!"&amp;E$1&amp;$A33))</f>
        <v>Die deskriptive Statistik wurde nur für einen Teil der verwendeten Maßzahlen berechnet, enthält irrelevante und nicht erläuterte Maßzahlen und bereitet die analytischen verfahren nicht adequat vor.</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1</v>
      </c>
      <c r="E34" s="166" t="str" cm="1">
        <f t="array" aca="1" ref="E34" ca="1">IF(ISBLANK(INDIRECT("Gesamt!"&amp;E$1&amp;$A34)),"",INDIRECT("Gesamt!"&amp;E$1&amp;$A34))</f>
        <v>Mittelwertvergleich: Die Methodenauswahl ist unbegründet, die berechneten Vergleichswerte erlauben die Beurteilung der Frage nicht. Die Autoren wollen prüfen ob Taxifahrten Montags länger dauern als an allen anderen Wochentagen, führen aber keine entsprechenden Tests durch, sondern vergelichen den Mittelwert des Montags mit dem Mittelwert der Fahrtdauern von Dienstags bis Sonntag (ein Mittelwert).</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1</v>
      </c>
      <c r="E35" s="166" t="str" cm="1">
        <f t="array" aca="1" ref="E35" ca="1">IF(ISBLANK(INDIRECT("Gesamt!"&amp;E$1&amp;$A35)),"",INDIRECT("Gesamt!"&amp;E$1&amp;$A35))</f>
        <v>Regression: Die Autoren formulieren kein nachvollzihebares Modell, zeigen keine Geradegleichung und  verzichtne auf die wesentlichen Kennziffern zur Darstellung der geschätzen Parameter. Wieso die ausgewählten Variablen gewählte wurden ist unklar, faktisch ist auch die Zuordnung zu abhängigen und unabhängigen Variablen nicht aus dem Textteil ersichtlich.</v>
      </c>
    </row>
    <row r="36" spans="1:5" ht="119"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0.5</v>
      </c>
      <c r="E36" s="166" t="str" cm="1">
        <f t="array" aca="1" ref="E36" ca="1">IF(ISBLANK(INDIRECT("Gesamt!"&amp;E$1&amp;$A36)),"",INDIRECT("Gesamt!"&amp;E$1&amp;$A36))</f>
        <v>Die aufgestellten Hypothesen sind  unbegründet. Die Arbeit enthält unnötige Beschreibungen (z.B. S.2 Zuordnung von Maßzhalen in Kategroien) und zeigt nicht beschriebene oder Erläuterte Maßzahlen die für den Gang der Untersuchung nicht relevant sind. Das sprachliche Niveau der Arbeit ist stark verbesserungsfähig. Zahlreiche Beschreibungen stüzten sich auf prozessuale Abläufe.</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0.5</v>
      </c>
      <c r="E37" s="166" t="str" cm="1">
        <f t="array" aca="1" ref="E37" ca="1">IF(ISBLANK(INDIRECT("Gesamt!"&amp;E$1&amp;$A37)),"",INDIRECT("Gesamt!"&amp;E$1&amp;$A37))</f>
        <v>Die Autoren versuchen einen Teil der aufgestellten Fragen zu beantworten.</v>
      </c>
    </row>
    <row r="38" spans="1:5" ht="68"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0.25</v>
      </c>
      <c r="E38" s="166" t="str" cm="1">
        <f t="array" aca="1" ref="E38" ca="1">IF(ISBLANK(INDIRECT("Gesamt!"&amp;E$1&amp;$A38)),"",INDIRECT("Gesamt!"&amp;E$1&amp;$A38))</f>
        <v>Die Arbeit enthält unterschiedliche Schriftarten, keine schlüssige Notation (Alpha mal in Textform und mal als Symbol), zeigt maximal 3 NKS und lässt in der Darstellung die notwendige Sorgfalt vermissen.</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0.5</v>
      </c>
      <c r="E39" s="59" t="str" cm="1">
        <f t="array" aca="1" ref="E39" ca="1">IF(ISBLANK(INDIRECT("Gesamt!"&amp;E$1&amp;$A39)),"",INDIRECT("Gesamt!"&amp;E$1&amp;$A39))</f>
        <v>Die Daten werde nicht auf Plausbilität geprüft, der Quellcode enthält keine Erläuterungen und unnötige (z.B. doppelte) Berechnungen.</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4.25</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Statistik DASJ</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1</v>
      </c>
      <c r="E42" s="48" t="str" cm="1">
        <f t="array" aca="1" ref="E42" ca="1">IF(ISBLANK(INDIRECT("Gesamt!"&amp;E$1&amp;$A42)),"",INDIRECT("Gesamt!"&amp;E$1&amp;$A42))</f>
        <v>(50,0 %)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2</v>
      </c>
      <c r="E43" s="48" t="str" cm="1">
        <f t="array" aca="1" ref="E43" ca="1">IF(ISBLANK(INDIRECT("Gesamt!"&amp;E$1&amp;$A43)),"",INDIRECT("Gesamt!"&amp;E$1&amp;$A43))</f>
        <v>(25,0 %)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4.25</v>
      </c>
      <c r="E44" s="59" t="str" cm="1">
        <f t="array" aca="1" ref="E44" ca="1">IF(ISBLANK(INDIRECT("Gesamt!"&amp;E$1&amp;$A44)),"",INDIRECT("Gesamt!"&amp;E$1&amp;$A44))</f>
        <v>(28,3 %)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7.25</v>
      </c>
      <c r="E45" s="55" t="str" cm="1">
        <f t="array" aca="1" ref="E45" ca="1">IF(ISBLANK(INDIRECT("Gesamt!"&amp;E$1&amp;$A45)),"",INDIRECT("Gesamt!"&amp;E$1&amp;$A45))</f>
        <v>(29,0 %)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7.5</v>
      </c>
      <c r="E46" s="55" t="str" cm="1">
        <f t="array" aca="1" ref="E46" ca="1">IF(ISBLANK(INDIRECT("Gesamt!"&amp;E$1&amp;$A46)),"",INDIRECT("Gesamt!"&amp;E$1&amp;$A46))</f>
        <v>(30,0 %)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0.25</v>
      </c>
      <c r="E47" s="62" t="str" cm="1">
        <f t="array" aca="1" ref="E47" ca="1">IF(ISBLANK(INDIRECT("Gesamt!"&amp;E$1&amp;$A47)),"",INDIRECT("Gesamt!"&amp;E$1&amp;$A47))</f>
        <v>( D )</v>
      </c>
    </row>
  </sheetData>
  <mergeCells count="2">
    <mergeCell ref="B2:E2"/>
    <mergeCell ref="B3:E3"/>
  </mergeCells>
  <conditionalFormatting sqref="E7">
    <cfRule type="expression" dxfId="107" priority="7">
      <formula>F7=FALSE</formula>
    </cfRule>
  </conditionalFormatting>
  <conditionalFormatting sqref="D7">
    <cfRule type="expression" dxfId="106" priority="1">
      <formula>F7=FALSE</formula>
    </cfRule>
  </conditionalFormatting>
  <conditionalFormatting sqref="E8">
    <cfRule type="expression" dxfId="105" priority="8">
      <formula>F8=FALSE</formula>
    </cfRule>
  </conditionalFormatting>
  <conditionalFormatting sqref="D8">
    <cfRule type="expression" dxfId="104" priority="2">
      <formula>F8=FALSE</formula>
    </cfRule>
  </conditionalFormatting>
  <conditionalFormatting sqref="D9">
    <cfRule type="expression" dxfId="103" priority="3">
      <formula>F9=FALSE</formula>
    </cfRule>
  </conditionalFormatting>
  <conditionalFormatting sqref="D10">
    <cfRule type="expression" dxfId="102" priority="4">
      <formula>F10=FALSE</formula>
    </cfRule>
  </conditionalFormatting>
  <conditionalFormatting sqref="D11">
    <cfRule type="expression" dxfId="101" priority="5">
      <formula>F11=FALSE</formula>
    </cfRule>
  </conditionalFormatting>
  <conditionalFormatting sqref="D12">
    <cfRule type="expression" dxfId="100" priority="6">
      <formula>F12=FALSE</formula>
    </cfRule>
  </conditionalFormatting>
  <conditionalFormatting sqref="E9">
    <cfRule type="expression" dxfId="99" priority="9">
      <formula>F9=FALSE</formula>
    </cfRule>
  </conditionalFormatting>
  <conditionalFormatting sqref="E10">
    <cfRule type="expression" dxfId="98" priority="10">
      <formula>F10=FALSE</formula>
    </cfRule>
  </conditionalFormatting>
  <conditionalFormatting sqref="E11">
    <cfRule type="expression" dxfId="97" priority="11">
      <formula>F11=FALSE</formula>
    </cfRule>
  </conditionalFormatting>
  <conditionalFormatting sqref="E12">
    <cfRule type="expression" dxfId="96"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21A0B-C48E-E04D-A877-36372843BF86}">
  <sheetPr codeName="Tabelle6">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J</v>
      </c>
      <c r="E1" s="16" t="str">
        <f>SUBSTITUTE(ADDRESS(1,A2+1,4),"1","")</f>
        <v>K</v>
      </c>
      <c r="F1" s="16" t="str">
        <f>SUBSTITUTE(ADDRESS(1,A2+2,4),"1","")</f>
        <v>L</v>
      </c>
    </row>
    <row r="2" spans="1:7" ht="31" x14ac:dyDescent="0.35">
      <c r="A2" s="167">
        <v>10</v>
      </c>
      <c r="B2" s="194" t="str" cm="1">
        <f t="array" aca="1" ref="B2" ca="1">"Feedback - Gruppe: "&amp;IF(ISBLANK(INDIRECT("Gesamt!"&amp;E$1&amp;$A5)),"",INDIRECT("Gesamt!"&amp;E$1&amp;$A5))</f>
        <v>Feedback - Gruppe: Kreativität = 0</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Kreativität = 0</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30198395</v>
      </c>
      <c r="E7" s="48" t="str" cm="1">
        <f t="array" aca="1" ref="E7" ca="1">IF(ISBLANK(INDIRECT("Gesamt!"&amp;E$1&amp;$A7)),"",INDIRECT("Gesamt!"&amp;E$1&amp;$A7))</f>
        <v xml:space="preserve">Florian Hickert </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30176436</v>
      </c>
      <c r="E8" s="48" t="str" cm="1">
        <f t="array" aca="1" ref="E8" ca="1">IF(ISBLANK(INDIRECT("Gesamt!"&amp;E$1&amp;$A8)),"",INDIRECT("Gesamt!"&amp;E$1&amp;$A8))</f>
        <v>Denis Krenz</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30180945</v>
      </c>
      <c r="E9" s="48" t="str" cm="1">
        <f t="array" aca="1" ref="E9" ca="1">IF(ISBLANK(INDIRECT("Gesamt!"&amp;E$1&amp;$A9)),"",INDIRECT("Gesamt!"&amp;E$1&amp;$A9))</f>
        <v xml:space="preserve">Luzia Lakämper </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30197455</v>
      </c>
      <c r="E10" s="48" t="str" cm="1">
        <f t="array" aca="1" ref="E10" ca="1">IF(ISBLANK(INDIRECT("Gesamt!"&amp;E$1&amp;$A10)),"",INDIRECT("Gesamt!"&amp;E$1&amp;$A10))</f>
        <v>Max Bogdanski</v>
      </c>
      <c r="F10" s="160" t="b" cm="1">
        <f t="array" aca="1" ref="F10" ca="1">IF(ISBLANK(INDIRECT("Gesamt!"&amp;F$1&amp;$A10)),"",INDIRECT("Gesamt!"&amp;F$1&amp;$A10))</f>
        <v>1</v>
      </c>
      <c r="G10" s="108"/>
    </row>
    <row r="11" spans="1:7" ht="17" x14ac:dyDescent="0.2">
      <c r="A11">
        <v>8</v>
      </c>
      <c r="B11" s="63" t="str">
        <f ca="1">E7 &amp; " (Gruppensprecher)"</f>
        <v>Florian Hickert  (Gruppensprecher)</v>
      </c>
      <c r="C11" s="53" t="str" cm="1">
        <f t="array" aca="1" ref="C11" ca="1">IF(ISBLANK(INDIRECT("Gesamt!"&amp;C$1&amp;$A11)),"",INDIRECT("Gesamt!"&amp;C$1&amp;$A11))</f>
        <v/>
      </c>
      <c r="D11" s="48" cm="1">
        <f t="array" aca="1" ref="D11" ca="1">IF(ISBLANK(INDIRECT("Gesamt!"&amp;D$1&amp;$A11)),"",INDIRECT("Gesamt!"&amp;D$1&amp;$A11))</f>
        <v>30109605</v>
      </c>
      <c r="E11" s="48" t="str" cm="1">
        <f t="array" aca="1" ref="E11" ca="1">IF(ISBLANK(INDIRECT("Gesamt!"&amp;E$1&amp;$A11)),"",INDIRECT("Gesamt!"&amp;E$1&amp;$A11))</f>
        <v xml:space="preserve">Marta Wardenga </v>
      </c>
      <c r="F11" s="160" t="b" cm="1">
        <f t="array" aca="1" ref="F11" ca="1">IF(ISBLANK(INDIRECT("Gesamt!"&amp;F$1&amp;$A11)),"",INDIRECT("Gesamt!"&amp;F$1&amp;$A11))</f>
        <v>1</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cm="1">
        <f t="array" aca="1" ref="D12" ca="1">IF(ISBLANK(INDIRECT("Gesamt!"&amp;D$1&amp;$A12)),"",INDIRECT("Gesamt!"&amp;D$1&amp;$A12))</f>
        <v>30198689</v>
      </c>
      <c r="E12" s="48" t="str" cm="1">
        <f t="array" aca="1" ref="E12" ca="1">IF(ISBLANK(INDIRECT("Gesamt!"&amp;E$1&amp;$A12)),"",INDIRECT("Gesamt!"&amp;E$1&amp;$A12))</f>
        <v xml:space="preserve">Joshua Eusterbrock </v>
      </c>
      <c r="F12" s="160" t="b" cm="1">
        <f t="array" aca="1" ref="F12" ca="1">IF(ISBLANK(INDIRECT("Gesamt!"&amp;F$1&amp;$A12)),"",INDIRECT("Gesamt!"&amp;F$1&amp;$A12))</f>
        <v>1</v>
      </c>
      <c r="G12" s="108"/>
    </row>
    <row r="13" spans="1:7" ht="34"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Kreativität = 0</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255"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0.2</v>
      </c>
      <c r="E16" s="48" t="str" cm="1">
        <f t="array" aca="1" ref="E16" ca="1">IF(ISBLANK(INDIRECT("Gesamt!"&amp;E$1&amp;$A16)),"",INDIRECT("Gesamt!"&amp;E$1&amp;$A16))</f>
        <v xml:space="preserve">Die Fragestellungen sind unspezifisch ausgearbeitet "Wie viel Zeit die Menschen in Taxis verbringen und welche anderen Gründe diese haben könnte" erlaubt wenig Rückschlüsse was Sie faktisch untersuchen wollen. Im Rest des Exposés werden zahlreiche Frage aufgeworfen, wobei unklar ist wie Sie diese faktisch beantworten wollen. Alle aufgeworfenen fragen können Sie vermutlich nicht hinreichend beantworten. Die Gründe für die Taxifahrten können Sie anhand der gegeben Daten nicht erschließen. Wer mit "die Menschen" gemeint ist ist zudem unklar (Wie grenzt man Grundgesamtheiten ab?). Die Argumentation ist wenig wissenschaftlich orientiert und nicht mit Quellen belegt (Woher kommt der Stereotyp? Quellenangaben!). Die Frage ob es in New York ein Taximonopol gibt brauchen Sie nicht untersuchen, die Antwort zu der Frage finden Sie zudem auf der Website der entsprechenden Behörde. </v>
      </c>
    </row>
    <row r="17" spans="1:5" ht="68"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0.2</v>
      </c>
      <c r="E17" s="163" t="str" cm="1">
        <f t="array" aca="1" ref="E17" ca="1">IF(ISBLANK(INDIRECT("Gesamt!"&amp;E$1&amp;$A17)),"",INDIRECT("Gesamt!"&amp;E$1&amp;$A17))</f>
        <v>Mit Motivation des Themas ist unklar, was im wesentlichen am schwach ausgeprägten Fokus des Themas liegt. Die genaue Vorgehensweise ist diffus, da das genaue Ziel nicht spezifiziert ist</v>
      </c>
    </row>
    <row r="18" spans="1:5" ht="69"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0.4</v>
      </c>
      <c r="E18" s="59" t="str" cm="1">
        <f t="array" aca="1" ref="E18" ca="1">IF(ISBLANK(INDIRECT("Gesamt!"&amp;E$1&amp;$A18)),"",INDIRECT("Gesamt!"&amp;E$1&amp;$A18))</f>
        <v>Das Inhaltsverzeichnis ist kein ordentlich generiertes Verzeichnis, enthält keine nachvollziehbare Gliederung und enthält unwissenschaftliche Formulierungen "Sind US-Amerikaner faul?".</v>
      </c>
    </row>
    <row r="19" spans="1:5" ht="341"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0.8</v>
      </c>
      <c r="E19" s="48" t="str" cm="1">
        <f t="array" aca="1" ref="E19" ca="1">IF(ISBLANK(INDIRECT("Gesamt!"&amp;E$1&amp;$A19)),"",INDIRECT("Gesamt!"&amp;E$1&amp;$A19))</f>
        <v>Mit Motivation ist die Motivation des Themas gemeint, also die Beantwortung auf die Frage wieso es sich lohnt die Forschungsfrage zu beantworten. Ihre persönliche Motivation (und wie diese entstanden ist) ist nicht relevant und Ausführungen dazu sollten Sie vermeiden. Beschränken Sie sich auf eine einzelne Forschungsfrage und beantworten Sie diese so gründlich wie möglich (jeder Teil der Arbeit führt stückwiese zur Beantwortung dieser einen Frage). Die Frage ob die Verwendung von Taxis effizient ist, bzw. spezifischer ob die gleiche Wegstrecke mit anderen Verkehrsmitteln (z.B. zu Fuß oder per Rad) schneller zurückgelegt werden kann und wovon diese Effizienzunterschiede (Hypothese: Es gibt Effizienzunterschiede) abhängig sind ist interessant. Dafür müssen Sie die Daten z.B. um die Dauer erweitern, was in R einfach möglich ist. Aus der Antwort auf die Frage wovon diese Effizienzunterschiede abhängig sind können Sie Rückschlüsse auf die zu berücksichtigenden Variablen ziehen (für die deskriptive Statistik). Eine damit verbundene Hypothese wäre diese: sehr kurze Taxifahren dauern relativ zur zurückgelegten Strecke länger als sehr lange Taxifahren (Was sehr kurze und sehr lange Taxifahren sind müssen Sie festlegen und gut begründen).</v>
      </c>
    </row>
    <row r="20" spans="1:5" ht="34"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Kreativität = 0</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68"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2</v>
      </c>
      <c r="E23" s="48" t="str" cm="1">
        <f t="array" aca="1" ref="E23" ca="1">IF(ISBLANK(INDIRECT("Gesamt!"&amp;E$1&amp;$A23)),"",INDIRECT("Gesamt!"&amp;E$1&amp;$A23))</f>
        <v>Lage- und Streuungsmaße vorhanden. Was soll man aus dem Vergleich der Varianz von einem Distanzmaß und von einer Zeitdimension lernen (S.6)? Wenn Sie die Einheit von km in m ändern, verändert sich auch die Varianz.</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1</v>
      </c>
      <c r="E24" s="166" t="str" cm="1">
        <f t="array" aca="1" ref="E24" ca="1">IF(ISBLANK(INDIRECT("Gesamt!"&amp;E$1&amp;$A24)),"",INDIRECT("Gesamt!"&amp;E$1&amp;$A24))</f>
        <v>Berechnungen und Erläuterungen ok. Textuelle Beschreibung vorhanden.</v>
      </c>
    </row>
    <row r="25" spans="1:5" ht="136"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0.5</v>
      </c>
      <c r="E25" s="166" t="str" cm="1">
        <f t="array" aca="1" ref="E25" ca="1">IF(ISBLANK(INDIRECT("Gesamt!"&amp;E$1&amp;$A25)),"",INDIRECT("Gesamt!"&amp;E$1&amp;$A25))</f>
        <v>Der folgende Satz ist unverständlich. "Eine Scheinkorrelation wird aufgrund der feststehenden Daten nicht in Betracht gezogen." Daten stehen immer fest. Scheinkorrelation ist ein Zusammenhang der auf einen (nicht beobachtete) Drittgröße zurückzuführen ist, aber nicht in einen inhaltslogischen Zusammenhang gebracht werden kann. Bitte lesen Sie die Arbeit ordentlich Korrektur - Jedes Gruppenmitglied sollte jeden Satz verstehen und erläutern können.</v>
      </c>
    </row>
    <row r="26" spans="1:5" ht="170"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0.5</v>
      </c>
      <c r="E26" s="166" t="str" cm="1">
        <f t="array" aca="1" ref="E26" ca="1">IF(ISBLANK(INDIRECT("Gesamt!"&amp;E$1&amp;$A26)),"",INDIRECT("Gesamt!"&amp;E$1&amp;$A26))</f>
        <v>Die Beschriftung der Grafiken ist mangelhaft, da diese nicht sprechend sind. Keine der Grafiken hat eine Überschrift oder eine entsprechenden Titel (Caption in Word). Variablennamen sind keine brauchbaren Achsenbeschriftungen! Anstellen von "osrm_distance" können Sie z.B. schreiben "Streckenlänge für KFZ nach OSRM Routenplaner in Metern (osrm_distance)".  Jede Grafik sollte bei alleiniger Betrachtung des Datensatzes verständlich sein muss aber dennoch vollständig im Text (mit Referenz) beschrieben werden. Das trifft aktuell auf keine Ihrer Abbildungen zu.</v>
      </c>
    </row>
    <row r="27" spans="1:5" ht="221"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1.5</v>
      </c>
      <c r="E27" s="166" t="str" cm="1">
        <f t="array" aca="1" ref="E27" ca="1">IF(ISBLANK(INDIRECT("Gesamt!"&amp;E$1&amp;$A27)),"",INDIRECT("Gesamt!"&amp;E$1&amp;$A27))</f>
        <v xml:space="preserve">Ihre Argumentation zur ersten Hypothese ist ungenau. Der Datensatz enthält keine gefahrene Strecke (prüfen sie nochmals was die osrm_distance ist und passen sie die Formulierung an). Wieso nutzen sie zur Unterteilung in kurz und lang 20%, wieso nicht 25% (faktisch spielt das keine Rolle, aber es fehlt eine Begründung). Die Argumentation in der Einführung beginnt schon in einer Vergangenheitsform, wissenschaftliche Arbeiten schreibt man im Präsens (wird statt wurde, für den Leser hat das ja noch nicht stattgefunden). Die Erwähnung, dass in der Arbeit dann Streudiagramme enthalten sind usw. hat in der Einleitung keinen Platz. Das sieht der Leser dann schon. Generell sollten sie ihre Argumentation auf Konzepte und Prinzipien stützten, nicht auf Abläufe. </v>
      </c>
    </row>
    <row r="28" spans="1:5" ht="373"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0.5</v>
      </c>
      <c r="E28" s="59" t="str" cm="1">
        <f t="array" aca="1" ref="E28" ca="1">IF(ISBLANK(INDIRECT("Gesamt!"&amp;E$1&amp;$A28)),"",INDIRECT("Gesamt!"&amp;E$1&amp;$A28))</f>
        <v>Das Inhaltsverzeichnis enthält keine Nummerierungen. Die enthaltenen Kapitelüberschriften sind nicht sprechend und teilweise nicht verständlich (Interpretation einer Hypothese ergibt keinen Sinn. Wieso ist die erste Hypothese aufgeteilt hinsichtlich Beschreibung und Interpretation und die folgenden beiden zusammengefasst? Worum es überhaupt geht ist weder aus dem Titel der Arbeit noch aus dem Inhaltsverzeichnis ersichtlich.). Der Anhang enthält nochmals alle Grafiken, keine dieser Grafiken ist verwendbar, da weder Achsenbeschriftungen noch  Beschreibungen vorhanden sind. Zudem gibt es in der Arbeit zwei Abbildungen mit der laufenden Nummer 1. Die Einführung ist eher eine Zusammenfassung, da entsprechend der Fokus auf der Darstellung der Ergebnisse liegt. Ergänzend sollten Sie dringend vorsichtiger mit den Aussagen sein ("es wurde festgestellt, dass die Vermutungen der Wahrheit entsprechen", das können Sie doch gar nicht sagen, Evidenz für die Plausibilität der Hypothesen liefert ein Hypothesentest, ob das in Wahrheit stimmt (Gültigkeit welcher Hypothese) können Sie in echten Untersuchungen NIE wissen. Keine der Beobachtungen wurde mit R erhoben (S.4), R ist eine Softwareumgebung zur Auswertung von Daten. Jede Quelle im Literaturverzeichnis muss in der Arbeit verwendet werden, wieso zitieren Sie R nicht ordnungsgemäß?</v>
      </c>
    </row>
    <row r="29" spans="1:5" ht="409.6"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6</v>
      </c>
      <c r="E29" s="48" t="str" cm="1">
        <f t="array" aca="1" ref="E29" ca="1">IF(ISBLANK(INDIRECT("Gesamt!"&amp;E$1&amp;$A29)),"",INDIRECT("Gesamt!"&amp;E$1&amp;$A29))</f>
        <v xml:space="preserve">Formulieren sie gründlicher und unter Rückgriff auf Fachvokabular (Was soll das erste Quantil sein? S.9; "das dritte Quartil findet ebenfalls weiterhin mit 2,000 Personen statt" S.7 Was soll das bedeuten? Quantile haben einen spezifischen Wert und finden nicht satt.). Bennen Sie einen Verantwortlichen für die Endabgabe, der die Arbeit hinsichtlich von Formatierung und Homogenität der Formulierungen prüft. Ihr Text wirkt noch nicht wie aus einem Guss, der Leser merkt, dass dieser von unterschiedlichen Personen geschrieben wurde. Vermeiden Sei das Wort "erheben" (und Deklinationen davon). Sie haben keine Daten erhoben. Runden Sie gezeigte Ergebnisse auf 4 Nachkommastellen (Aktuell haben Sie Ergebnisse mit 2 bis 7 NKS). Bei diskreten Größen brauchen Sie die Nachkommastellen nicht ergänzen (1,0000 Personen macht den Text unleserlich. Die  berechneten Quantile sind doch eh alle Ganzzahlig!). Ihre Beschreibungen der Berechnungen sind ok, an einigen Stellen sollten Sie noch eine Interpretation ergänzen, sodass sie die Berechnungen auch mit der Inhaltsebene verknüpfen. Ergänzen Sie ordentlich formatierte Tabellen zu den Berechneten Kennzahlen, sodass der Leser sich vor Ihrer Beschreibung selbst einen kurzen Eindruck verschaffen kann. Verbessern Sie die Qualität der Diagramme, einige sind unscharf (Exportieren Sie diese idealerweise in einem Vektorformat (EPS, SVG und nicht PNG,JPG,GIF) bevor sie diese in Word einfügen und achten Sie auf konsistenten Größe der Grafiken (Höhe, Breite, Schriftgröße). Verzichten Sie auf Rechenrezepte (z.B. S.10 "Den Variationskoeffizienten erhält man..." Sie haben doch vorher schon an mehreren Stellen Variationskoeffizienten diskutiert wieso kommt diese Beschreibung bei der dritten Hypothese (Wer prüft das? Solche Beschreibungen können Sie weglassen, jeder Leser einer wissenschaftlichen Arbeit weiß wie man den Variationskoeffizienten berechnet). Wenn Sie Berechnungen beschreiben nutzen sie Formeln (Notation erläutern und Formelmodus verwenden!). Für elementare Kennzahlen ist das nicht notwendig, sehr hilfreich ist das aber bei der Berechnung eigener Variablen (Transformationen von Sekunden in Minuten, oder für die Formulierung des entsprechenden Auswahlkriteriums für lange und kurze Fahrten). Tabellen gehören wie Abbildungen nummeriert (z.B. S.9). Wenn sie Tabellen haben wie auf S.9 und S.10 ergänzen Sie die Anzahl der Beobachtungen. Entfernen Sie offensichtliche Ausreißer und Fehler in den Daten, bevor Sie diese verwenden . </v>
      </c>
    </row>
    <row r="30" spans="1:5" ht="34"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Kreativität = 0</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36"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1</v>
      </c>
      <c r="E33" s="48" t="str" cm="1">
        <f t="array" aca="1" ref="E33" ca="1">IF(ISBLANK(INDIRECT("Gesamt!"&amp;E$1&amp;$A33)),"",INDIRECT("Gesamt!"&amp;E$1&amp;$A33))</f>
        <v>Das 3. Quartil ist kein Intervall und kann infolgedessen auch keinen Bereich beschreiben (S.4). Die deskriptive Statistik ist lediglich Fließtext und dadurch sehr unübersichtlich. Bei fast allen Angaben fehlen Einheiten. Es ist unklar welche Variablen des Datensatzes die Atuoren faktisch ntuzen. Der Datensatz enthält keine Variable "Duration". Der R-Code zeigt, dass die Autoren mit der Variablen "osrm_duration" arbeiten. Wieso hier nicht die faktische Dauer der Fahrten ("trip_duration") genutzt wird ist unklar.</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2</v>
      </c>
      <c r="E34" s="166" t="str" cm="1">
        <f t="array" aca="1" ref="E34" ca="1">IF(ISBLANK(INDIRECT("Gesamt!"&amp;E$1&amp;$A34)),"",INDIRECT("Gesamt!"&amp;E$1&amp;$A34))</f>
        <v>Die Interpretationen von Testergebnissen sind falsch, die Autoren trennen nicht zwischen Effektgröße und implizitem Signifikanzniveau. Der p-Wert lässt keine Rückschlüsse auf die Effektgröße zu (S.13).</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1.5</v>
      </c>
      <c r="E35" s="166" t="str" cm="1">
        <f t="array" aca="1" ref="E35" ca="1">IF(ISBLANK(INDIRECT("Gesamt!"&amp;E$1&amp;$A35)),"",INDIRECT("Gesamt!"&amp;E$1&amp;$A35))</f>
        <v>Wieso die Autoren für den Chi-Quadrat-Test ausschließlich zusammengefasste Gruppen nutzen ist unklar. Die gewählte analytische Methode ist für die Beantwortung der dritten Hypothese ungeeignet.</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1</v>
      </c>
      <c r="E36" s="166" t="str" cm="1">
        <f t="array" aca="1" ref="E36" ca="1">IF(ISBLANK(INDIRECT("Gesamt!"&amp;E$1&amp;$A36)),"",INDIRECT("Gesamt!"&amp;E$1&amp;$A36))</f>
        <v>Die Argumentation in der Arbeit und die ordnungsgemäße Verwendung von Fachvokabular ist defizitär (z.B. S.3 "… wird diese Hypothese auf Unterschiede untersucht ...", S.5 "große Spannweite … ist auf große Streuung zurückzuführen").</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0.5</v>
      </c>
      <c r="E37" s="166" t="str" cm="1">
        <f t="array" aca="1" ref="E37" ca="1">IF(ISBLANK(INDIRECT("Gesamt!"&amp;E$1&amp;$A37)),"",INDIRECT("Gesamt!"&amp;E$1&amp;$A37))</f>
        <v>Ein Teil der aufgeworfenen Fragen wurde nachvollziehbar mit akzeptablen Mitteln beantwortet.</v>
      </c>
    </row>
    <row r="38" spans="1:5" ht="119"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0.25</v>
      </c>
      <c r="E38" s="166" t="str" cm="1">
        <f t="array" aca="1" ref="E38" ca="1">IF(ISBLANK(INDIRECT("Gesamt!"&amp;E$1&amp;$A38)),"",INDIRECT("Gesamt!"&amp;E$1&amp;$A38))</f>
        <v>Das Inhaltsverzeichnis ist nicht ordnugnsgemäß formatiert. Grafiken fehlt der Titel und Einheiten sind nicht benannt. Die Arbeit ist frei von wissenschaftlicher Notation und Symbolen. Die Exponentendarstellung aus R wurde einfach in die Arbeit kopiert. Die Unterkapitel der eigentlichen Untersuchung sind nicht weiter strukturiert. DIe Quellen des Literaturverezichnisses sind nicht im Text zitiert.</v>
      </c>
    </row>
    <row r="39" spans="1:5" ht="120"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0.5</v>
      </c>
      <c r="E39" s="59" t="str" cm="1">
        <f t="array" aca="1" ref="E39" ca="1">IF(ISBLANK(INDIRECT("Gesamt!"&amp;E$1&amp;$A39)),"",INDIRECT("Gesamt!"&amp;E$1&amp;$A39))</f>
        <v>Die R-Datei enthält 100 Zeilen unnötigen Programmcode, der lediglich vom Dozenten kopiert wurde aber nicht zur Arbeit der Autoren gehört. An zahlreichen stellen ist der Programmcode nur schwer nachvollziehbar. Weiso die Autoren nicht die Funktion range() oder zumindest max() und min() für die Berechnung der Spannweite nutzen ist gänzlich unklar. Der verbleibende Code ist schlecht strukturiert und schwer nachvollziehbar.</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6.75</v>
      </c>
      <c r="E40" s="48" t="str" cm="1">
        <f t="array" aca="1" ref="E40" ca="1">IF(ISBLANK(INDIRECT("Gesamt!"&amp;E$1&amp;$A40)),"",INDIRECT("Gesamt!"&amp;E$1&amp;$A40))</f>
        <v/>
      </c>
    </row>
    <row r="41" spans="1:5" ht="34"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Kreativität = 0</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0.8</v>
      </c>
      <c r="E42" s="48" t="str" cm="1">
        <f t="array" aca="1" ref="E42" ca="1">IF(ISBLANK(INDIRECT("Gesamt!"&amp;E$1&amp;$A42)),"",INDIRECT("Gesamt!"&amp;E$1&amp;$A42))</f>
        <v>(40,0 %)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6</v>
      </c>
      <c r="E43" s="48" t="str" cm="1">
        <f t="array" aca="1" ref="E43" ca="1">IF(ISBLANK(INDIRECT("Gesamt!"&amp;E$1&amp;$A43)),"",INDIRECT("Gesamt!"&amp;E$1&amp;$A43))</f>
        <v>(75,0 %)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6.75</v>
      </c>
      <c r="E44" s="59" t="str" cm="1">
        <f t="array" aca="1" ref="E44" ca="1">IF(ISBLANK(INDIRECT("Gesamt!"&amp;E$1&amp;$A44)),"",INDIRECT("Gesamt!"&amp;E$1&amp;$A44))</f>
        <v>(45,0 %)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13.55</v>
      </c>
      <c r="E45" s="55" t="str" cm="1">
        <f t="array" aca="1" ref="E45" ca="1">IF(ISBLANK(INDIRECT("Gesamt!"&amp;E$1&amp;$A45)),"",INDIRECT("Gesamt!"&amp;E$1&amp;$A45))</f>
        <v>(54,2 %)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14.000000000000002</v>
      </c>
      <c r="E46" s="55" t="str" cm="1">
        <f t="array" aca="1" ref="E46" ca="1">IF(ISBLANK(INDIRECT("Gesamt!"&amp;E$1&amp;$A46)),"",INDIRECT("Gesamt!"&amp;E$1&amp;$A46))</f>
        <v>(56,0 %)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0.75</v>
      </c>
      <c r="E47" s="62" t="str" cm="1">
        <f t="array" aca="1" ref="E47" ca="1">IF(ISBLANK(INDIRECT("Gesamt!"&amp;E$1&amp;$A47)),"",INDIRECT("Gesamt!"&amp;E$1&amp;$A47))</f>
        <v>( B )</v>
      </c>
    </row>
  </sheetData>
  <mergeCells count="2">
    <mergeCell ref="B2:E2"/>
    <mergeCell ref="B3:E3"/>
  </mergeCells>
  <conditionalFormatting sqref="E7">
    <cfRule type="expression" dxfId="95" priority="7">
      <formula>F7=FALSE</formula>
    </cfRule>
  </conditionalFormatting>
  <conditionalFormatting sqref="D7">
    <cfRule type="expression" dxfId="94" priority="1">
      <formula>F7=FALSE</formula>
    </cfRule>
  </conditionalFormatting>
  <conditionalFormatting sqref="E8">
    <cfRule type="expression" dxfId="93" priority="8">
      <formula>F8=FALSE</formula>
    </cfRule>
  </conditionalFormatting>
  <conditionalFormatting sqref="D8">
    <cfRule type="expression" dxfId="92" priority="2">
      <formula>F8=FALSE</formula>
    </cfRule>
  </conditionalFormatting>
  <conditionalFormatting sqref="D9">
    <cfRule type="expression" dxfId="91" priority="3">
      <formula>F9=FALSE</formula>
    </cfRule>
  </conditionalFormatting>
  <conditionalFormatting sqref="D10">
    <cfRule type="expression" dxfId="90" priority="4">
      <formula>F10=FALSE</formula>
    </cfRule>
  </conditionalFormatting>
  <conditionalFormatting sqref="D11">
    <cfRule type="expression" dxfId="89" priority="5">
      <formula>F11=FALSE</formula>
    </cfRule>
  </conditionalFormatting>
  <conditionalFormatting sqref="D12">
    <cfRule type="expression" dxfId="88" priority="6">
      <formula>F12=FALSE</formula>
    </cfRule>
  </conditionalFormatting>
  <conditionalFormatting sqref="E9">
    <cfRule type="expression" dxfId="87" priority="9">
      <formula>F9=FALSE</formula>
    </cfRule>
  </conditionalFormatting>
  <conditionalFormatting sqref="E10">
    <cfRule type="expression" dxfId="86" priority="10">
      <formula>F10=FALSE</formula>
    </cfRule>
  </conditionalFormatting>
  <conditionalFormatting sqref="E11">
    <cfRule type="expression" dxfId="85" priority="11">
      <formula>F11=FALSE</formula>
    </cfRule>
  </conditionalFormatting>
  <conditionalFormatting sqref="E12">
    <cfRule type="expression" dxfId="84"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DFE12-C505-1849-B27F-8FF28F3DF99C}">
  <sheetPr codeName="Tabelle7">
    <pageSetUpPr fitToPage="1"/>
  </sheetPr>
  <dimension ref="A1:G47"/>
  <sheetViews>
    <sheetView workbookViewId="0">
      <selection activeCell="J18" sqref="J18"/>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M</v>
      </c>
      <c r="E1" s="16" t="str">
        <f>SUBSTITUTE(ADDRESS(1,A2+1,4),"1","")</f>
        <v>N</v>
      </c>
      <c r="F1" s="16" t="str">
        <f>SUBSTITUTE(ADDRESS(1,A2+2,4),"1","")</f>
        <v>O</v>
      </c>
    </row>
    <row r="2" spans="1:7" ht="31" x14ac:dyDescent="0.35">
      <c r="A2" s="167">
        <v>13</v>
      </c>
      <c r="B2" s="194" t="str" cm="1">
        <f t="array" aca="1" ref="B2" ca="1">"Feedback - Gruppe: "&amp;IF(ISBLANK(INDIRECT("Gesamt!"&amp;E$1&amp;$A5)),"",INDIRECT("Gesamt!"&amp;E$1&amp;$A5))</f>
        <v>Feedback - Gruppe: Teamtastik</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Teamtastik</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30109030</v>
      </c>
      <c r="E7" s="48" t="str" cm="1">
        <f t="array" aca="1" ref="E7" ca="1">IF(ISBLANK(INDIRECT("Gesamt!"&amp;E$1&amp;$A7)),"",INDIRECT("Gesamt!"&amp;E$1&amp;$A7))</f>
        <v>Gamze Semiz</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30197369</v>
      </c>
      <c r="E8" s="48" t="str" cm="1">
        <f t="array" aca="1" ref="E8" ca="1">IF(ISBLANK(INDIRECT("Gesamt!"&amp;E$1&amp;$A8)),"",INDIRECT("Gesamt!"&amp;E$1&amp;$A8))</f>
        <v>Aylin Colak</v>
      </c>
      <c r="F8" s="160" t="b" cm="1">
        <f t="array" aca="1" ref="F8" ca="1">IF(ISBLANK(INDIRECT("Gesamt!"&amp;F$1&amp;$A8)),"",INDIRECT("Gesamt!"&amp;F$1&amp;$A8))</f>
        <v>0</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30178513</v>
      </c>
      <c r="E9" s="48" t="str" cm="1">
        <f t="array" aca="1" ref="E9" ca="1">IF(ISBLANK(INDIRECT("Gesamt!"&amp;E$1&amp;$A9)),"",INDIRECT("Gesamt!"&amp;E$1&amp;$A9))</f>
        <v>Kader Degirmenci</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30069729</v>
      </c>
      <c r="E10" s="48" t="str" cm="1">
        <f t="array" aca="1" ref="E10" ca="1">IF(ISBLANK(INDIRECT("Gesamt!"&amp;E$1&amp;$A10)),"",INDIRECT("Gesamt!"&amp;E$1&amp;$A10))</f>
        <v>Layla Aisosa Enkhoe</v>
      </c>
      <c r="F10" s="160" t="b" cm="1">
        <f t="array" aca="1" ref="F10" ca="1">IF(ISBLANK(INDIRECT("Gesamt!"&amp;F$1&amp;$A10)),"",INDIRECT("Gesamt!"&amp;F$1&amp;$A10))</f>
        <v>1</v>
      </c>
      <c r="G10" s="108"/>
    </row>
    <row r="11" spans="1:7" ht="17" x14ac:dyDescent="0.2">
      <c r="A11">
        <v>8</v>
      </c>
      <c r="B11" s="63" t="str">
        <f ca="1">E7 &amp; " (Gruppensprecher)"</f>
        <v>Gamze Semiz (Gruppensprecher)</v>
      </c>
      <c r="C11" s="53" t="str" cm="1">
        <f t="array" aca="1" ref="C11" ca="1">IF(ISBLANK(INDIRECT("Gesamt!"&amp;C$1&amp;$A11)),"",INDIRECT("Gesamt!"&amp;C$1&amp;$A11))</f>
        <v/>
      </c>
      <c r="D11" s="48" cm="1">
        <f t="array" aca="1" ref="D11" ca="1">IF(ISBLANK(INDIRECT("Gesamt!"&amp;D$1&amp;$A11)),"",INDIRECT("Gesamt!"&amp;D$1&amp;$A11))</f>
        <v>10060667</v>
      </c>
      <c r="E11" s="48" t="str" cm="1">
        <f t="array" aca="1" ref="E11" ca="1">IF(ISBLANK(INDIRECT("Gesamt!"&amp;E$1&amp;$A11)),"",INDIRECT("Gesamt!"&amp;E$1&amp;$A11))</f>
        <v>Angelina Kostuzenko</v>
      </c>
      <c r="F11" s="160" t="b" cm="1">
        <f t="array" aca="1" ref="F11" ca="1">IF(ISBLANK(INDIRECT("Gesamt!"&amp;F$1&amp;$A11)),"",INDIRECT("Gesamt!"&amp;F$1&amp;$A11))</f>
        <v>0</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cm="1">
        <f t="array" aca="1" ref="D12" ca="1">IF(ISBLANK(INDIRECT("Gesamt!"&amp;D$1&amp;$A12)),"",INDIRECT("Gesamt!"&amp;D$1&amp;$A12))</f>
        <v>30196809</v>
      </c>
      <c r="E12" s="48" t="str" cm="1">
        <f t="array" aca="1" ref="E12" ca="1">IF(ISBLANK(INDIRECT("Gesamt!"&amp;E$1&amp;$A12)),"",INDIRECT("Gesamt!"&amp;E$1&amp;$A12))</f>
        <v>Selim Durmaz</v>
      </c>
      <c r="F12" s="160" t="b" cm="1">
        <f t="array" aca="1" ref="F12" ca="1">IF(ISBLANK(INDIRECT("Gesamt!"&amp;F$1&amp;$A12)),"",INDIRECT("Gesamt!"&amp;F$1&amp;$A12))</f>
        <v>0</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Teamtastik</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119"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0.2</v>
      </c>
      <c r="E16" s="48" t="str" cm="1">
        <f t="array" aca="1" ref="E16" ca="1">IF(ISBLANK(INDIRECT("Gesamt!"&amp;E$1&amp;$A16)),"",INDIRECT("Gesamt!"&amp;E$1&amp;$A16))</f>
        <v xml:space="preserve">Das Exposee enthält keine Hypothesen, alle im Kapitel 1.1 aufgeworfenen Punkte sind durch deskriptive Maßzahlen sehr einfach darzustellen. Die Frage "an welchem Wochentag womöglich der höchste Gewinn erbracht wird" ist nicht beantwortbar, da der Datensatz keine Einnahmen, Fahrpreise oder Kosten enthält. Gleiches gilt für die Frage nach der Pünktlichkeit der Fahrten. </v>
      </c>
    </row>
    <row r="17" spans="1:5" ht="85"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0.1</v>
      </c>
      <c r="E17" s="163" t="str" cm="1">
        <f t="array" aca="1" ref="E17" ca="1">IF(ISBLANK(INDIRECT("Gesamt!"&amp;E$1&amp;$A17)),"",INDIRECT("Gesamt!"&amp;E$1&amp;$A17))</f>
        <v>Die Autoren verfolgen kein klar erkennbares Ziel, die einzelnen Kapitel bauen nicht aufeinander auf. Die Vorgehenseise ist generisch und nicht auf einen Untersuchungszweck angepasst. Die Motivation des Themas ist lediglich "generelle Wichtigkeit" oder das "Interesse des Lesers".</v>
      </c>
    </row>
    <row r="18" spans="1:5" ht="69"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0.4</v>
      </c>
      <c r="E18" s="59" t="str" cm="1">
        <f t="array" aca="1" ref="E18" ca="1">IF(ISBLANK(INDIRECT("Gesamt!"&amp;E$1&amp;$A18)),"",INDIRECT("Gesamt!"&amp;E$1&amp;$A18))</f>
        <v>die Gründe für die Untersuchungen sind teilweise ungewöhnlich formuliert z.B.: "um den Leser noch weiter zu informieren". Der Titel der Arbeit ist zu generisch und sollte spezifiziert werden.</v>
      </c>
    </row>
    <row r="19" spans="1:5" ht="290"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0.70000000000000007</v>
      </c>
      <c r="E19" s="48" t="str" cm="1">
        <f t="array" aca="1" ref="E19" ca="1">IF(ISBLANK(INDIRECT("Gesamt!"&amp;E$1&amp;$A19)),"",INDIRECT("Gesamt!"&amp;E$1&amp;$A19))</f>
        <v>Das Ziel der Arbeit muss stärker herausgearbeitet werden. In Anlehnung an die Formulierten Fragen der Autoren kann eine zu untersuchenden Hypothese sein, das die Fahrtdauer abhängig vom Wochentag ist (also je nach Wochentag unterschiedlich ist). Eine mögliche Forschungsfrage kann die Bestimmungen von Determinanten der Fahrtdauer sein und die von den Autoren aufgeworfenen Punkte Hinsicht ihres Zusammenhanges mit der Fahrtdauer zu untersuchen. Auf die generischen Einführungen insb. in Kapitel 1.1 (die zudem keine Quellenangaben tragen) sollten Sie verzichten. Suchen Sie sich eine Fragestellung aus und arbeiten Sie auf diese hin und beleuchten Sie die von so vielen Perspektiven wie möglich. Ergänzen Sie in jedem Fall ein Quellenverzeichnis, nutzen Sie ein Programm zu Literaturverwaltung (Citavi/Zotero/Mendeley/etc.). Sie sollten erwähnen mit welcher Software Sie arbeiten, wie Sie die Verwendung von R korrekt zitieren finden sie mit der R-Funktion 'citation()' heraus.</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Teamtastik</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68"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0.25</v>
      </c>
      <c r="E23" s="48" t="str" cm="1">
        <f t="array" aca="1" ref="E23" ca="1">IF(ISBLANK(INDIRECT("Gesamt!"&amp;E$1&amp;$A23)),"",INDIRECT("Gesamt!"&amp;E$1&amp;$A23))</f>
        <v>Ansätze von deskriptiver Statistik sind zu erkennen, die wenigen Ergebnisse für Stellen jedoch keine  vollständige Analyse dar.</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v>
      </c>
      <c r="E24" s="166" t="str" cm="1">
        <f t="array" aca="1" ref="E24" ca="1">IF(ISBLANK(INDIRECT("Gesamt!"&amp;E$1&amp;$A24)),"",INDIRECT("Gesamt!"&amp;E$1&amp;$A24))</f>
        <v>Die Abgabe enthält keine bewertbaren Berechnungen, Interpretationen oder Einordnungen.</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v>
      </c>
      <c r="E25" s="166" t="str" cm="1">
        <f t="array" aca="1" ref="E25" ca="1">IF(ISBLANK(INDIRECT("Gesamt!"&amp;E$1&amp;$A25)),"",INDIRECT("Gesamt!"&amp;E$1&amp;$A25))</f>
        <v>Die Abgabe enthält keine bewertbaren Berechnungen, Interpretationen oder Einordnungen.</v>
      </c>
    </row>
    <row r="26" spans="1:5" ht="85"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v>
      </c>
      <c r="E26" s="166" t="str" cm="1">
        <f t="array" aca="1" ref="E26" ca="1">IF(ISBLANK(INDIRECT("Gesamt!"&amp;E$1&amp;$A26)),"",INDIRECT("Gesamt!"&amp;E$1&amp;$A26))</f>
        <v>Die Abgabe enthält keine Diagramme.</v>
      </c>
    </row>
    <row r="27" spans="1:5" ht="51"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v>
      </c>
      <c r="E27" s="166" t="str" cm="1">
        <f t="array" aca="1" ref="E27" ca="1">IF(ISBLANK(INDIRECT("Gesamt!"&amp;E$1&amp;$A27)),"",INDIRECT("Gesamt!"&amp;E$1&amp;$A27))</f>
        <v>Zweckmäßiger Methodeneinsatz oder Zielgerichte fachliche Argumentation ist nicht zu erkennen.</v>
      </c>
    </row>
    <row r="28" spans="1:5" ht="120"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v>
      </c>
      <c r="E28" s="59" t="str" cm="1">
        <f t="array" aca="1" ref="E28" ca="1">IF(ISBLANK(INDIRECT("Gesamt!"&amp;E$1&amp;$A28)),"",INDIRECT("Gesamt!"&amp;E$1&amp;$A28))</f>
        <v>Die Arbeit ist nicht formatiert es wurde keine nennenswerte Analyse durchgeführt.</v>
      </c>
    </row>
    <row r="29" spans="1:5" ht="69"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0.25</v>
      </c>
      <c r="E29" s="48" t="str" cm="1">
        <f t="array" aca="1" ref="E29" ca="1">IF(ISBLANK(INDIRECT("Gesamt!"&amp;E$1&amp;$A29)),"",INDIRECT("Gesamt!"&amp;E$1&amp;$A29))</f>
        <v>Der Gegenstand der Arbeit ist nicht adäquat ausgearbeitet. Erarbeiten Sie eine anständige und begründete Hypothese integrieren sie die für die Zwischenabgabe geforderten Inhalte in die Endabgabe.</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Teamtastik</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0</v>
      </c>
      <c r="E33" s="48" t="str" cm="1">
        <f t="array" aca="1" ref="E33" ca="1">IF(ISBLANK(INDIRECT("Gesamt!"&amp;E$1&amp;$A33)),"",INDIRECT("Gesamt!"&amp;E$1&amp;$A33))</f>
        <v>Keine Abgabe erfolgt</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0</v>
      </c>
      <c r="E34" s="166" t="str" cm="1">
        <f t="array" aca="1" ref="E34" ca="1">IF(ISBLANK(INDIRECT("Gesamt!"&amp;E$1&amp;$A34)),"",INDIRECT("Gesamt!"&amp;E$1&amp;$A34))</f>
        <v>Keine Abgabe erfolgt</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0</v>
      </c>
      <c r="E35" s="166" t="str" cm="1">
        <f t="array" aca="1" ref="E35" ca="1">IF(ISBLANK(INDIRECT("Gesamt!"&amp;E$1&amp;$A35)),"",INDIRECT("Gesamt!"&amp;E$1&amp;$A35))</f>
        <v>Keine Abgabe erfolgt</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0</v>
      </c>
      <c r="E36" s="166" t="str" cm="1">
        <f t="array" aca="1" ref="E36" ca="1">IF(ISBLANK(INDIRECT("Gesamt!"&amp;E$1&amp;$A36)),"",INDIRECT("Gesamt!"&amp;E$1&amp;$A36))</f>
        <v>Keine Abgabe erfolgt</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0</v>
      </c>
      <c r="E37" s="166" t="str" cm="1">
        <f t="array" aca="1" ref="E37" ca="1">IF(ISBLANK(INDIRECT("Gesamt!"&amp;E$1&amp;$A37)),"",INDIRECT("Gesamt!"&amp;E$1&amp;$A37))</f>
        <v>Keine Abgabe erfolgt</v>
      </c>
    </row>
    <row r="38" spans="1:5" ht="51"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v>
      </c>
      <c r="E38" s="166" t="str" cm="1">
        <f t="array" aca="1" ref="E38" ca="1">IF(ISBLANK(INDIRECT("Gesamt!"&amp;E$1&amp;$A38)),"",INDIRECT("Gesamt!"&amp;E$1&amp;$A38))</f>
        <v>Keine Abgabe erfolgt</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v>
      </c>
      <c r="E39" s="59" t="str" cm="1">
        <f t="array" aca="1" ref="E39" ca="1">IF(ISBLANK(INDIRECT("Gesamt!"&amp;E$1&amp;$A39)),"",INDIRECT("Gesamt!"&amp;E$1&amp;$A39))</f>
        <v>Keine Abgabe erfolgt</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0</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Teamtastik</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0.70000000000000007</v>
      </c>
      <c r="E42" s="48" t="str" cm="1">
        <f t="array" aca="1" ref="E42" ca="1">IF(ISBLANK(INDIRECT("Gesamt!"&amp;E$1&amp;$A42)),"",INDIRECT("Gesamt!"&amp;E$1&amp;$A42))</f>
        <v>(35,0 %)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0.25</v>
      </c>
      <c r="E43" s="48" t="str" cm="1">
        <f t="array" aca="1" ref="E43" ca="1">IF(ISBLANK(INDIRECT("Gesamt!"&amp;E$1&amp;$A43)),"",INDIRECT("Gesamt!"&amp;E$1&amp;$A43))</f>
        <v>(3,1 %)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0</v>
      </c>
      <c r="E44" s="59" t="str" cm="1">
        <f t="array" aca="1" ref="E44" ca="1">IF(ISBLANK(INDIRECT("Gesamt!"&amp;E$1&amp;$A44)),"",INDIRECT("Gesamt!"&amp;E$1&amp;$A44))</f>
        <v>(0,0 %)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0.95000000000000007</v>
      </c>
      <c r="E45" s="55" t="str" cm="1">
        <f t="array" aca="1" ref="E45" ca="1">IF(ISBLANK(INDIRECT("Gesamt!"&amp;E$1&amp;$A45)),"",INDIRECT("Gesamt!"&amp;E$1&amp;$A45))</f>
        <v>(3,8 %)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1</v>
      </c>
      <c r="E46" s="55" t="str" cm="1">
        <f t="array" aca="1" ref="E46" ca="1">IF(ISBLANK(INDIRECT("Gesamt!"&amp;E$1&amp;$A46)),"",INDIRECT("Gesamt!"&amp;E$1&amp;$A46))</f>
        <v>(4,0 %)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v>
      </c>
      <c r="E47" s="62" t="str" cm="1">
        <f t="array" aca="1" ref="E47" ca="1">IF(ISBLANK(INDIRECT("Gesamt!"&amp;E$1&amp;$A47)),"",INDIRECT("Gesamt!"&amp;E$1&amp;$A47))</f>
        <v>( E )</v>
      </c>
    </row>
  </sheetData>
  <mergeCells count="2">
    <mergeCell ref="B2:E2"/>
    <mergeCell ref="B3:E3"/>
  </mergeCells>
  <conditionalFormatting sqref="E7">
    <cfRule type="expression" dxfId="83" priority="7">
      <formula>F7=FALSE</formula>
    </cfRule>
  </conditionalFormatting>
  <conditionalFormatting sqref="D7">
    <cfRule type="expression" dxfId="82" priority="1">
      <formula>F7=FALSE</formula>
    </cfRule>
  </conditionalFormatting>
  <conditionalFormatting sqref="E8">
    <cfRule type="expression" dxfId="81" priority="8">
      <formula>F8=FALSE</formula>
    </cfRule>
  </conditionalFormatting>
  <conditionalFormatting sqref="D8">
    <cfRule type="expression" dxfId="80" priority="2">
      <formula>F8=FALSE</formula>
    </cfRule>
  </conditionalFormatting>
  <conditionalFormatting sqref="D9">
    <cfRule type="expression" dxfId="79" priority="3">
      <formula>F9=FALSE</formula>
    </cfRule>
  </conditionalFormatting>
  <conditionalFormatting sqref="D10">
    <cfRule type="expression" dxfId="78" priority="4">
      <formula>F10=FALSE</formula>
    </cfRule>
  </conditionalFormatting>
  <conditionalFormatting sqref="D11">
    <cfRule type="expression" dxfId="77" priority="5">
      <formula>F11=FALSE</formula>
    </cfRule>
  </conditionalFormatting>
  <conditionalFormatting sqref="D12">
    <cfRule type="expression" dxfId="76" priority="6">
      <formula>F12=FALSE</formula>
    </cfRule>
  </conditionalFormatting>
  <conditionalFormatting sqref="E9">
    <cfRule type="expression" dxfId="75" priority="9">
      <formula>F9=FALSE</formula>
    </cfRule>
  </conditionalFormatting>
  <conditionalFormatting sqref="E10">
    <cfRule type="expression" dxfId="74" priority="10">
      <formula>F10=FALSE</formula>
    </cfRule>
  </conditionalFormatting>
  <conditionalFormatting sqref="E11">
    <cfRule type="expression" dxfId="73" priority="11">
      <formula>F11=FALSE</formula>
    </cfRule>
  </conditionalFormatting>
  <conditionalFormatting sqref="E12">
    <cfRule type="expression" dxfId="72"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61B2-F832-B54D-878E-52AD55611815}">
  <sheetPr codeName="Tabelle8">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P</v>
      </c>
      <c r="E1" s="16" t="str">
        <f>SUBSTITUTE(ADDRESS(1,A2+1,4),"1","")</f>
        <v>Q</v>
      </c>
      <c r="F1" s="16" t="str">
        <f>SUBSTITUTE(ADDRESS(1,A2+2,4),"1","")</f>
        <v>R</v>
      </c>
    </row>
    <row r="2" spans="1:7" ht="31" x14ac:dyDescent="0.35">
      <c r="A2" s="167">
        <v>16</v>
      </c>
      <c r="B2" s="194" t="str" cm="1">
        <f t="array" aca="1" ref="B2" ca="1">"Feedback - Gruppe: "&amp;IF(ISBLANK(INDIRECT("Gesamt!"&amp;E$1&amp;$A5)),"",INDIRECT("Gesamt!"&amp;E$1&amp;$A5))</f>
        <v>Feedback - Gruppe: Die Datenanalytiker</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Die Datenanalytiker</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30203897</v>
      </c>
      <c r="E7" s="48" t="str" cm="1">
        <f t="array" aca="1" ref="E7" ca="1">IF(ISBLANK(INDIRECT("Gesamt!"&amp;E$1&amp;$A7)),"",INDIRECT("Gesamt!"&amp;E$1&amp;$A7))</f>
        <v>Helen Hammerschmidt</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30203235</v>
      </c>
      <c r="E8" s="48" t="str" cm="1">
        <f t="array" aca="1" ref="E8" ca="1">IF(ISBLANK(INDIRECT("Gesamt!"&amp;E$1&amp;$A8)),"",INDIRECT("Gesamt!"&amp;E$1&amp;$A8))</f>
        <v xml:space="preserve">Michelle Genci </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30196656</v>
      </c>
      <c r="E9" s="48" t="str" cm="1">
        <f t="array" aca="1" ref="E9" ca="1">IF(ISBLANK(INDIRECT("Gesamt!"&amp;E$1&amp;$A9)),"",INDIRECT("Gesamt!"&amp;E$1&amp;$A9))</f>
        <v xml:space="preserve">Mia Benirschke </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30102619</v>
      </c>
      <c r="E10" s="48" t="str" cm="1">
        <f t="array" aca="1" ref="E10" ca="1">IF(ISBLANK(INDIRECT("Gesamt!"&amp;E$1&amp;$A10)),"",INDIRECT("Gesamt!"&amp;E$1&amp;$A10))</f>
        <v xml:space="preserve">Alexander Gawritschkow </v>
      </c>
      <c r="F10" s="160" t="b" cm="1">
        <f t="array" aca="1" ref="F10" ca="1">IF(ISBLANK(INDIRECT("Gesamt!"&amp;F$1&amp;$A10)),"",INDIRECT("Gesamt!"&amp;F$1&amp;$A10))</f>
        <v>1</v>
      </c>
      <c r="G10" s="108"/>
    </row>
    <row r="11" spans="1:7" ht="17" x14ac:dyDescent="0.2">
      <c r="A11">
        <v>8</v>
      </c>
      <c r="B11" s="63" t="str">
        <f ca="1">E7 &amp; " (Gruppensprecher)"</f>
        <v>Helen Hammerschmidt (Gruppensprecher)</v>
      </c>
      <c r="C11" s="53" t="str" cm="1">
        <f t="array" aca="1" ref="C11" ca="1">IF(ISBLANK(INDIRECT("Gesamt!"&amp;C$1&amp;$A11)),"",INDIRECT("Gesamt!"&amp;C$1&amp;$A11))</f>
        <v/>
      </c>
      <c r="D11" s="48" cm="1">
        <f t="array" aca="1" ref="D11" ca="1">IF(ISBLANK(INDIRECT("Gesamt!"&amp;D$1&amp;$A11)),"",INDIRECT("Gesamt!"&amp;D$1&amp;$A11))</f>
        <v>30105553</v>
      </c>
      <c r="E11" s="48" t="str" cm="1">
        <f t="array" aca="1" ref="E11" ca="1">IF(ISBLANK(INDIRECT("Gesamt!"&amp;E$1&amp;$A11)),"",INDIRECT("Gesamt!"&amp;E$1&amp;$A11))</f>
        <v>Oguzhan Dagdelen</v>
      </c>
      <c r="F11" s="160" t="b" cm="1">
        <f t="array" aca="1" ref="F11" ca="1">IF(ISBLANK(INDIRECT("Gesamt!"&amp;F$1&amp;$A11)),"",INDIRECT("Gesamt!"&amp;F$1&amp;$A11))</f>
        <v>0</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34"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Die Datenanalytiker</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119"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0.8</v>
      </c>
      <c r="E16" s="48" t="str" cm="1">
        <f t="array" aca="1" ref="E16" ca="1">IF(ISBLANK(INDIRECT("Gesamt!"&amp;E$1&amp;$A16)),"",INDIRECT("Gesamt!"&amp;E$1&amp;$A16))</f>
        <v xml:space="preserve">Die formulierten Hypothesen sind lediglich Fragestellungen. Die genaue Zielstellung ist sehr unpräzise. Die Frage was die Länge (i.S.v. Dauer) über die zurückgelegte Strecke (Definition notwendig) hinaus beeinflusst ist eine spannende und gute Fragestellung. Hier müssen noch konkrete Hypothesen (Vermutungen) formuliert werden. Der Einfluss von Feiertage ist ebenfalls ein guter Punkt. </v>
      </c>
    </row>
    <row r="17" spans="1:5" ht="102"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0.1</v>
      </c>
      <c r="E17" s="163" t="str" cm="1">
        <f t="array" aca="1" ref="E17" ca="1">IF(ISBLANK(INDIRECT("Gesamt!"&amp;E$1&amp;$A17)),"",INDIRECT("Gesamt!"&amp;E$1&amp;$A17))</f>
        <v xml:space="preserve">Die Motivation des Themas wird faktisch nicht mit den untersuchten Inhalten verknüpft, sodass unklar ist welche "lukrativen Entscheidungen" Unternehmen denn treffen können, wenn Sie Einblicke über die die Treiber der Dauer von Taxifahrten zur Verfügung stehen haben. Das zu erwartende Vorgehen im Verlauf der Arbeit ist nicht beschrieben. </v>
      </c>
    </row>
    <row r="18" spans="1:5" ht="86"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0.2</v>
      </c>
      <c r="E18" s="59" t="str" cm="1">
        <f t="array" aca="1" ref="E18" ca="1">IF(ISBLANK(INDIRECT("Gesamt!"&amp;E$1&amp;$A18)),"",INDIRECT("Gesamt!"&amp;E$1&amp;$A18))</f>
        <v>Das Exposé befindet sich vor dem formatierten Dokument und wicht hinsichtlich der Gestaltung davon massiv ab. Das Deckblatt ist ohne erkennbaren Grund bunt und grafisch ausgestaltet, enthält aber wesentliche Informationen (Datum, Betreuer, Fach) nicht. Der Schreibstil des Exposés ist OK.</v>
      </c>
    </row>
    <row r="19" spans="1:5" ht="273"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1.1000000000000001</v>
      </c>
      <c r="E19" s="48" t="str" cm="1">
        <f t="array" aca="1" ref="E19" ca="1">IF(ISBLANK(INDIRECT("Gesamt!"&amp;E$1&amp;$A19)),"",INDIRECT("Gesamt!"&amp;E$1&amp;$A19))</f>
        <v>Die Motivation und Hinleitung des Themas muss, wenn Sie wirklich an der Perspektive der "Marktanalyse" festhalten wollen, müssen Sie hier explizite Gründe darlegen was ein Unternehmen mit den Dingen die Sie hoffen herauszufinden faktisch anfangen können. Die Fragestellungen müssen geschärft werden und explizite Hypothesen formuliert worden. Darüber Hinaus sollten sie die konkreten Vorgänge skizzieren. Nenn Sie was Sie genau mit welcher Variable im Datensatz tun. Woher kommt z.B. die Variable die Kennzeichnet ob eine Fahrt an einem Feiertag stattgefunden hat oder nicht? Bei Ihren Formulierungen sollten Sie zudem präziser werden. Was meinen Sie z.B. ganz genau mit Taxifahrtlänge? Ergänzen Sie in jedem Fall ein Quellenverzeichnis, nutzen Sie ein Programm zu Literaturverwaltung (Citavi/Zotero/Mendeley/etc.). Sie sollten erwähnen mit welcher Software Sie arbeiten, wie Sie die Verwendung von R korrekt zitieren finden sie mit der R-Funktion 'citation()' heraus.</v>
      </c>
    </row>
    <row r="20" spans="1:5" ht="34"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Die Datenanalytiker</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204"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0</v>
      </c>
      <c r="E23" s="48" t="str" cm="1">
        <f t="array" aca="1" ref="E23" ca="1">IF(ISBLANK(INDIRECT("Gesamt!"&amp;E$1&amp;$A23)),"",INDIRECT("Gesamt!"&amp;E$1&amp;$A23))</f>
        <v>Die Arbeit enthält  keine systematische Darstellung der Lage- oder Streuungsmaße. Die Autoren erwähnen nur, dass Sie diese irgendwann einmal berechnen wollen. Keine einzige relevante Zahl ist im Fließtext erläutert, keine Zahl im Sachkontext diskutiert. Anscheinen wurden jedoch wenig plausible Werte (Ausreißer) entfernt (grundsätzlich gut!) aber leider nicht die Anzahl der entfernten Beobachtungen genannt. Dies geschieht zudem erst in Kap.2.4 , sodass angenommen werden muss das die fehlerhaften Beobachtungen in den anderen Kapitel enthalten sind. Die in den Grafiken enthaltenen Werte sind nicht im Text beschrieben und damit gegenstandslos. Die Ausführungen zur Standardabweichung (S.7) sind grundlegend falsch.</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v>
      </c>
      <c r="E24" s="166" t="str" cm="1">
        <f t="array" aca="1" ref="E24" ca="1">IF(ISBLANK(INDIRECT("Gesamt!"&amp;E$1&amp;$A24)),"",INDIRECT("Gesamt!"&amp;E$1&amp;$A24))</f>
        <v>In der Arbeit wurde kein Zusammenhangsmaß berechnet.</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v>
      </c>
      <c r="E25" s="166" t="str" cm="1">
        <f t="array" aca="1" ref="E25" ca="1">IF(ISBLANK(INDIRECT("Gesamt!"&amp;E$1&amp;$A25)),"",INDIRECT("Gesamt!"&amp;E$1&amp;$A25))</f>
        <v>In der Arbeit wurde kein ergänzendes Zusammenhangsmaß oder Konzentrationsmaß berechnet.</v>
      </c>
    </row>
    <row r="26" spans="1:5" ht="119"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0.5</v>
      </c>
      <c r="E26" s="166" t="str" cm="1">
        <f t="array" aca="1" ref="E26" ca="1">IF(ISBLANK(INDIRECT("Gesamt!"&amp;E$1&amp;$A26)),"",INDIRECT("Gesamt!"&amp;E$1&amp;$A26))</f>
        <v>Ihre Abbildungen sind teilweise sehr unterschiedlich groß, fast alle verpixelt und der Text teilweise nur schwer zu entziffern. Screenshots schlechter Excel Grafiken haben in einer wissenschaftlichen Arbeit nichts zu suchen. Abb.1 und Abb.2 sehen spannend aus, sind aber faktisch nicht zu lesen (unscharf und Text zu klein) und nicht sprechend hinsichtlich der verwendeten Bezeichnungen (Was bedeuten die unterschiedlichen Farben?).</v>
      </c>
    </row>
    <row r="27" spans="1:5" ht="51"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0.25</v>
      </c>
      <c r="E27" s="166" t="str" cm="1">
        <f t="array" aca="1" ref="E27" ca="1">IF(ISBLANK(INDIRECT("Gesamt!"&amp;E$1&amp;$A27)),"",INDIRECT("Gesamt!"&amp;E$1&amp;$A27))</f>
        <v xml:space="preserve">Die Argumentation ist teilweise ok, jedoch ist unklar was die einzelnen Kapitel mit der übergeordneten Forschungsfrage zu tun haben. Alle Betrachtungen sind isoliert. </v>
      </c>
    </row>
    <row r="28" spans="1:5" ht="357"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0.25</v>
      </c>
      <c r="E28" s="59" t="str" cm="1">
        <f t="array" aca="1" ref="E28" ca="1">IF(ISBLANK(INDIRECT("Gesamt!"&amp;E$1&amp;$A28)),"",INDIRECT("Gesamt!"&amp;E$1&amp;$A28))</f>
        <v xml:space="preserve">Ihre Kapitelüberschriften sind teilweise sehr unterschiedlich in der Länge, Die entsprechenden Fragestellungen sollten Sie für die Überschrift kürzen. Der Sprachstil ist in weiten teilen unverbindlich, präzisieren Sie ihre Aussagen (was sollen z.B. diverse Vorteile von Entscheidungen sein? S.3). Zahlreiche Absätze bestehen nur aus einem Satz. Sie Beschreiben an vielen Stellen den Prozess wie sie die Ergebnisse zustande bekommen sind (z.B. ... können mit dem Befehl summary() die Extremwerte...) diese Rezepte und Prozessbeschreibungen interessieren keinen Leser. Fokussieren Sie auf den Inhalt. Sie verändern den Datensatz in Excel (S.6) dadurch ist die Analyse nicht mehr nachvollziehbar und Sie verlieren eine zentrale Eigenschaften wissenschaftlicher Analysen. Ihre Begründung dafür ist zudem nicht plausibel. Der Datensatz enthält lediglich 10000 Beobachtungen ist also ein winziger Datensatz. R ist für große Datenmengen konzipiert. Die Formatierung des Dokumentes ist mangelhaft, der Text enthält unvollständige Sätze (z.B. letzter Satz auf S.9), Abschnitte die aus einzelnen Sätzen bestehen und nicht lesbare Grafiken oder Grafiken die keine eigene fortlaufende Nummer oder Achsenbeschriftung aufweisen (S.11) oder gänzlich anderen Formatierten Text (.S.12)  </v>
      </c>
    </row>
    <row r="29" spans="1:5" ht="222"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1</v>
      </c>
      <c r="E29" s="48" t="str" cm="1">
        <f t="array" aca="1" ref="E29" ca="1">IF(ISBLANK(INDIRECT("Gesamt!"&amp;E$1&amp;$A29)),"",INDIRECT("Gesamt!"&amp;E$1&amp;$A29))</f>
        <v>Man merkt das Sie versuchen sich wissenschaftlich auszudrücken. Denken Sie in erster Linie bei den Formulierungen an das Untersuchungsziel. Klarheit in der Sache ist wichtiger als elaboriert klingende Sätze. Solche Ungetüme wie "Dabei wird thematisch das Ausmaß und die Relevanz der Diskrepanz behandelt, die bei den Datensätzen zur Taxinutzung in New York City vorkommen." klingen zwar irgendwie "wissenschaftlich", haben aber keine Aussage. Prüfen Sie für jeden Satz was die Konsequenz für den Leser wäre, wenn Sie diesen streichen. Ihr Text wirkt zusammenkopiert. Die einzelnen Kapitel gehen nicht ineinander über. Legen Sie eine Person fest die die Verantwortung für die Integration der Teilelemente übernimmt und zu einem gut lesbaren (!) Text zusammenfügt und diesen einheitlich formatiert.</v>
      </c>
    </row>
    <row r="30" spans="1:5" ht="34"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Die Datenanalytiker</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0.5</v>
      </c>
      <c r="E33" s="48" t="str" cm="1">
        <f t="array" aca="1" ref="E33" ca="1">IF(ISBLANK(INDIRECT("Gesamt!"&amp;E$1&amp;$A33)),"",INDIRECT("Gesamt!"&amp;E$1&amp;$A33))</f>
        <v>Ansätze von deskriptiver Statistik sind zu erkennen.</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0</v>
      </c>
      <c r="E34" s="166" t="str" cm="1">
        <f t="array" aca="1" ref="E34" ca="1">IF(ISBLANK(INDIRECT("Gesamt!"&amp;E$1&amp;$A34)),"",INDIRECT("Gesamt!"&amp;E$1&amp;$A34))</f>
        <v xml:space="preserve">Chi-Quadrat-Test: Die Autoren geben an einen Chi-Quadrat-Test durchzuführen, die erforderlichen Kennzahlen für die Interpretation des Tests werden jedoch nicht benannt, gezeigt oder  interpretiert. </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0</v>
      </c>
      <c r="E35" s="166" t="str" cm="1">
        <f t="array" aca="1" ref="E35" ca="1">IF(ISBLANK(INDIRECT("Gesamt!"&amp;E$1&amp;$A35)),"",INDIRECT("Gesamt!"&amp;E$1&amp;$A35))</f>
        <v xml:space="preserve">Regression: Die Autoren geben ein eine Regressionanalyse durchzuführen, Ergebnisse sind in der Arbeit aber nicht enthalten. </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0.5</v>
      </c>
      <c r="E36" s="166" t="str" cm="1">
        <f t="array" aca="1" ref="E36" ca="1">IF(ISBLANK(INDIRECT("Gesamt!"&amp;E$1&amp;$A36)),"",INDIRECT("Gesamt!"&amp;E$1&amp;$A36))</f>
        <v>Das sprachliche Niveau der Arbeit ist stark verbesserugsfähig. Vereinzelt finden sich rezeptartige Beschreibungen. Generell wirkt das abgegebene Dokument unvollständig und nicht final bearbeitet. Für eine wissenschaftliche Arbeit an einer Hochschule ist das eingereichte Dokument nicht angemessen.</v>
      </c>
    </row>
    <row r="37" spans="1:5" ht="85"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0</v>
      </c>
      <c r="E37" s="166" t="str" cm="1">
        <f t="array" aca="1" ref="E37" ca="1">IF(ISBLANK(INDIRECT("Gesamt!"&amp;E$1&amp;$A37)),"",INDIRECT("Gesamt!"&amp;E$1&amp;$A37))</f>
        <v xml:space="preserve">Die  vorgelegte Arbeit hat keine erkennbar klare Struktur, zielgerichtete Argumentationen die als Antwort auf klar abgegrenzte Forschugnsfragen zu deuten sind fehlen. Zahlreiche Beschreibungen sind prozessorientiert und frei vom zu untersuchenden Inhalt. </v>
      </c>
    </row>
    <row r="38" spans="1:5" ht="51"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v>
      </c>
      <c r="E38" s="166" t="str" cm="1">
        <f t="array" aca="1" ref="E38" ca="1">IF(ISBLANK(INDIRECT("Gesamt!"&amp;E$1&amp;$A38)),"",INDIRECT("Gesamt!"&amp;E$1&amp;$A38))</f>
        <v xml:space="preserve">Die Arbeit enthält unvollständige Sätze, nicht eingeführte Notation, unbenannte Grafiken und verzichtet an viele Stellen auf die Nennugn von Einheiten. </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v>
      </c>
      <c r="E39" s="59" t="str" cm="1">
        <f t="array" aca="1" ref="E39" ca="1">IF(ISBLANK(INDIRECT("Gesamt!"&amp;E$1&amp;$A39)),"",INDIRECT("Gesamt!"&amp;E$1&amp;$A39))</f>
        <v>Es wurde keine Datei mit Programmcode abgegeben.</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1</v>
      </c>
      <c r="E40" s="48" t="str" cm="1">
        <f t="array" aca="1" ref="E40" ca="1">IF(ISBLANK(INDIRECT("Gesamt!"&amp;E$1&amp;$A40)),"",INDIRECT("Gesamt!"&amp;E$1&amp;$A40))</f>
        <v/>
      </c>
    </row>
    <row r="41" spans="1:5" ht="34"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Die Datenanalytiker</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1.1000000000000001</v>
      </c>
      <c r="E42" s="48" t="str" cm="1">
        <f t="array" aca="1" ref="E42" ca="1">IF(ISBLANK(INDIRECT("Gesamt!"&amp;E$1&amp;$A42)),"",INDIRECT("Gesamt!"&amp;E$1&amp;$A42))</f>
        <v>(55,0 %)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1</v>
      </c>
      <c r="E43" s="48" t="str" cm="1">
        <f t="array" aca="1" ref="E43" ca="1">IF(ISBLANK(INDIRECT("Gesamt!"&amp;E$1&amp;$A43)),"",INDIRECT("Gesamt!"&amp;E$1&amp;$A43))</f>
        <v>(12,5 %)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1</v>
      </c>
      <c r="E44" s="59" t="str" cm="1">
        <f t="array" aca="1" ref="E44" ca="1">IF(ISBLANK(INDIRECT("Gesamt!"&amp;E$1&amp;$A44)),"",INDIRECT("Gesamt!"&amp;E$1&amp;$A44))</f>
        <v>(6,7 %)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3.1</v>
      </c>
      <c r="E45" s="55" t="str" cm="1">
        <f t="array" aca="1" ref="E45" ca="1">IF(ISBLANK(INDIRECT("Gesamt!"&amp;E$1&amp;$A45)),"",INDIRECT("Gesamt!"&amp;E$1&amp;$A45))</f>
        <v>(12,4 %)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3.5</v>
      </c>
      <c r="E46" s="55" t="str" cm="1">
        <f t="array" aca="1" ref="E46" ca="1">IF(ISBLANK(INDIRECT("Gesamt!"&amp;E$1&amp;$A46)),"",INDIRECT("Gesamt!"&amp;E$1&amp;$A46))</f>
        <v>(14,0 %)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0.125</v>
      </c>
      <c r="E47" s="62" t="str" cm="1">
        <f t="array" aca="1" ref="E47" ca="1">IF(ISBLANK(INDIRECT("Gesamt!"&amp;E$1&amp;$A47)),"",INDIRECT("Gesamt!"&amp;E$1&amp;$A47))</f>
        <v>( D )</v>
      </c>
    </row>
  </sheetData>
  <mergeCells count="2">
    <mergeCell ref="B2:E2"/>
    <mergeCell ref="B3:E3"/>
  </mergeCells>
  <conditionalFormatting sqref="E7">
    <cfRule type="expression" dxfId="71" priority="7">
      <formula>F7=FALSE</formula>
    </cfRule>
  </conditionalFormatting>
  <conditionalFormatting sqref="D7">
    <cfRule type="expression" dxfId="70" priority="1">
      <formula>F7=FALSE</formula>
    </cfRule>
  </conditionalFormatting>
  <conditionalFormatting sqref="E8">
    <cfRule type="expression" dxfId="69" priority="8">
      <formula>F8=FALSE</formula>
    </cfRule>
  </conditionalFormatting>
  <conditionalFormatting sqref="D8">
    <cfRule type="expression" dxfId="68" priority="2">
      <formula>F8=FALSE</formula>
    </cfRule>
  </conditionalFormatting>
  <conditionalFormatting sqref="D9">
    <cfRule type="expression" dxfId="67" priority="3">
      <formula>F9=FALSE</formula>
    </cfRule>
  </conditionalFormatting>
  <conditionalFormatting sqref="D10">
    <cfRule type="expression" dxfId="66" priority="4">
      <formula>F10=FALSE</formula>
    </cfRule>
  </conditionalFormatting>
  <conditionalFormatting sqref="D11">
    <cfRule type="expression" dxfId="65" priority="5">
      <formula>F11=FALSE</formula>
    </cfRule>
  </conditionalFormatting>
  <conditionalFormatting sqref="D12">
    <cfRule type="expression" dxfId="64" priority="6">
      <formula>F12=FALSE</formula>
    </cfRule>
  </conditionalFormatting>
  <conditionalFormatting sqref="E9">
    <cfRule type="expression" dxfId="63" priority="9">
      <formula>F9=FALSE</formula>
    </cfRule>
  </conditionalFormatting>
  <conditionalFormatting sqref="E10">
    <cfRule type="expression" dxfId="62" priority="10">
      <formula>F10=FALSE</formula>
    </cfRule>
  </conditionalFormatting>
  <conditionalFormatting sqref="E11">
    <cfRule type="expression" dxfId="61" priority="11">
      <formula>F11=FALSE</formula>
    </cfRule>
  </conditionalFormatting>
  <conditionalFormatting sqref="E12">
    <cfRule type="expression" dxfId="60"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F01E6-6E60-7C41-872C-E223EF98943F}">
  <sheetPr codeName="Tabelle9">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S</v>
      </c>
      <c r="E1" s="16" t="str">
        <f>SUBSTITUTE(ADDRESS(1,A2+1,4),"1","")</f>
        <v>T</v>
      </c>
      <c r="F1" s="16" t="str">
        <f>SUBSTITUTE(ADDRESS(1,A2+2,4),"1","")</f>
        <v>U</v>
      </c>
    </row>
    <row r="2" spans="1:7" ht="31" x14ac:dyDescent="0.35">
      <c r="A2" s="167">
        <v>19</v>
      </c>
      <c r="B2" s="194" t="str" cm="1">
        <f t="array" aca="1" ref="B2" ca="1">"Feedback - Gruppe: "&amp;IF(ISBLANK(INDIRECT("Gesamt!"&amp;E$1&amp;$A5)),"",INDIRECT("Gesamt!"&amp;E$1&amp;$A5))</f>
        <v>Feedback - Gruppe: Die Schalker</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Die Schalker</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30174627</v>
      </c>
      <c r="E7" s="48" t="str" cm="1">
        <f t="array" aca="1" ref="E7" ca="1">IF(ISBLANK(INDIRECT("Gesamt!"&amp;E$1&amp;$A7)),"",INDIRECT("Gesamt!"&amp;E$1&amp;$A7))</f>
        <v>Henry Wagener</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30103714</v>
      </c>
      <c r="E8" s="48" t="str" cm="1">
        <f t="array" aca="1" ref="E8" ca="1">IF(ISBLANK(INDIRECT("Gesamt!"&amp;E$1&amp;$A8)),"",INDIRECT("Gesamt!"&amp;E$1&amp;$A8))</f>
        <v>Gerit Klenk</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30098015</v>
      </c>
      <c r="E9" s="48" t="str" cm="1">
        <f t="array" aca="1" ref="E9" ca="1">IF(ISBLANK(INDIRECT("Gesamt!"&amp;E$1&amp;$A9)),"",INDIRECT("Gesamt!"&amp;E$1&amp;$A9))</f>
        <v xml:space="preserve">Leon Muth-Köhne </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30169249</v>
      </c>
      <c r="E10" s="48" t="str" cm="1">
        <f t="array" aca="1" ref="E10" ca="1">IF(ISBLANK(INDIRECT("Gesamt!"&amp;E$1&amp;$A10)),"",INDIRECT("Gesamt!"&amp;E$1&amp;$A10))</f>
        <v>Florian Sam Kerstholt</v>
      </c>
      <c r="F10" s="160" t="b" cm="1">
        <f t="array" aca="1" ref="F10" ca="1">IF(ISBLANK(INDIRECT("Gesamt!"&amp;F$1&amp;$A10)),"",INDIRECT("Gesamt!"&amp;F$1&amp;$A10))</f>
        <v>1</v>
      </c>
      <c r="G10" s="108"/>
    </row>
    <row r="11" spans="1:7" ht="17" x14ac:dyDescent="0.2">
      <c r="A11">
        <v>8</v>
      </c>
      <c r="B11" s="63" t="str">
        <f ca="1">E7 &amp; " (Gruppensprecher)"</f>
        <v>Henry Wagener (Gruppensprecher)</v>
      </c>
      <c r="C11" s="53" t="str" cm="1">
        <f t="array" aca="1" ref="C11" ca="1">IF(ISBLANK(INDIRECT("Gesamt!"&amp;C$1&amp;$A11)),"",INDIRECT("Gesamt!"&amp;C$1&amp;$A11))</f>
        <v/>
      </c>
      <c r="D11" s="48" t="str" cm="1">
        <f t="array" aca="1" ref="D11" ca="1">IF(ISBLANK(INDIRECT("Gesamt!"&amp;D$1&amp;$A11)),"",INDIRECT("Gesamt!"&amp;D$1&amp;$A11))</f>
        <v/>
      </c>
      <c r="E11" s="48" t="str" cm="1">
        <f t="array" aca="1" ref="E11" ca="1">IF(ISBLANK(INDIRECT("Gesamt!"&amp;E$1&amp;$A11)),"",INDIRECT("Gesamt!"&amp;E$1&amp;$A11))</f>
        <v/>
      </c>
      <c r="F11" s="160" t="str" cm="1">
        <f t="array" aca="1" ref="F11" ca="1">IF(ISBLANK(INDIRECT("Gesamt!"&amp;F$1&amp;$A11)),"",INDIRECT("Gesamt!"&amp;F$1&amp;$A11))</f>
        <v xml:space="preserve"> </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Die Schalker</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68"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0.6</v>
      </c>
      <c r="E16" s="48" t="str" cm="1">
        <f t="array" aca="1" ref="E16" ca="1">IF(ISBLANK(INDIRECT("Gesamt!"&amp;E$1&amp;$A16)),"",INDIRECT("Gesamt!"&amp;E$1&amp;$A16))</f>
        <v xml:space="preserve">Die Daten beschreiben nicht "alle Taxifahrten in NYC" (Wie grenzt man Grundgesamtheiten ab?). Deskriptive und analytische Statistik sind in der textuellen Beschreibung nicht abgegrenzt und gehen nicht ineinander über. </v>
      </c>
    </row>
    <row r="17" spans="1:5" ht="102"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0.3</v>
      </c>
      <c r="E17" s="163" t="str" cm="1">
        <f t="array" aca="1" ref="E17" ca="1">IF(ISBLANK(INDIRECT("Gesamt!"&amp;E$1&amp;$A17)),"",INDIRECT("Gesamt!"&amp;E$1&amp;$A17))</f>
        <v>Die Motivation des Themas ist sehr generalistisch und nicht mit dem Ziel ("wann sie am besten auf andere Verkehrsmittel umsteigen") verknüpft. Die Vorgehensweise ist nur im Rahmen der Gliederung operationalisiert: Diese muss im Text ausformuliert werden. Welche Schritte und aus welchen Gründen nutzen Sie zur Beantwortung der Frage?</v>
      </c>
    </row>
    <row r="18" spans="1:5" ht="69"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0.2</v>
      </c>
      <c r="E18" s="59" t="str" cm="1">
        <f t="array" aca="1" ref="E18" ca="1">IF(ISBLANK(INDIRECT("Gesamt!"&amp;E$1&amp;$A18)),"",INDIRECT("Gesamt!"&amp;E$1&amp;$A18))</f>
        <v>Das Deckblatt enthält bunte Bilder und weicht in allen wesentlichen Formatierungspunkte vom Rest der Arbeit ab. Der Textteil des Exposés ist weitgehend unformatiert. Der</v>
      </c>
    </row>
    <row r="19" spans="1:5" ht="307"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1.0999999999999999</v>
      </c>
      <c r="E19" s="48" t="str" cm="1">
        <f t="array" aca="1" ref="E19" ca="1">IF(ISBLANK(INDIRECT("Gesamt!"&amp;E$1&amp;$A19)),"",INDIRECT("Gesamt!"&amp;E$1&amp;$A19))</f>
        <v>Konzentrieren Sie sich auf ein Ziel und eine damit verbundene Fragestellung. Das Ziel Empfehlungen zu geben, wann Taxis genutzt werden sollten und wann besser ist eine gute und interessante Fragestellung. Dafür brauchen Sie zusätzliche Annahmen oder zusätzliche Daten über andere Verkehrsmittel - Alternativ können Sie eine Effizienzbetrachtung für die Verbindung zwischen Stadtteilen durchführen und Untersuchen ob die Effizienz Abhängig von Uhrzeit/Wochentag/etc. ist. Die deskriptive Statistik muss die folgenden Fragen vorbereiten und die "Daten vorstellen". Entsprechend müssen beiden Teile der Arbeit (Kap. 2 und 3) auf das gleiche Ziel hinarbeiten. Bitte formulieren Sie alles im Präsenz und verzichten Sie auf Wörter wie "können", "sollen", etc. Ergänzen Sie in jedem Fall ein Quellenverzeichnis (dort sollten sie auch die entsprechende zusätzliche Kaggle Quelle zitieren), nutzen Sie ein Programm zu Literaturverwaltung (Citavi/Zotero/Mendeley/etc.). Sie sollten erwähnen mit welcher Software Sie arbeiten, wie Sie die Verwendung von R korrekt zitieren finden sie mit der R-Funktion 'citation()' heraus.</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Die Schalker</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68"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1</v>
      </c>
      <c r="E23" s="48" t="str" cm="1">
        <f t="array" aca="1" ref="E23" ca="1">IF(ISBLANK(INDIRECT("Gesamt!"&amp;E$1&amp;$A23)),"",INDIRECT("Gesamt!"&amp;E$1&amp;$A23))</f>
        <v>Lagemaße ok. Streuungsmaße fehlen. Das entfernen von Ausreißern haben Sie in der Arbeit gut gelöst (S.3), genau so sollte es sein.</v>
      </c>
    </row>
    <row r="24" spans="1:5" ht="187"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1</v>
      </c>
      <c r="E24" s="166" t="str" cm="1">
        <f t="array" aca="1" ref="E24" ca="1">IF(ISBLANK(INDIRECT("Gesamt!"&amp;E$1&amp;$A24)),"",INDIRECT("Gesamt!"&amp;E$1&amp;$A24))</f>
        <v>Eine Kontingenztafel ist keine Maßzahl im eigentlichen Sinne. Die Darstellung des Zusammenhangs ist dennoch gelungen. Sie sollten sich in der deskriptiven Statistik zudem auf sachliche Beschreibungen konzentrieren. (z.B. S.6 Woher wollen Sie wissen, dass die Fahrten am Wochenende durch das Nachtleben zustande kommen? Das vermuten Sie nur und Sie können dies nicht belegen und sollten es dementsprechend vorsichtig formulieren --&gt; Untersuchen Sie doch z.B. mit Hilfe eines Hypothesentest/Mittelwertvergleiches ob der Verkehr am Wochenende in den Morgenstunden wirklich erhöht ist oder ob dies nur (zufällig) in Ihrer Stichprobe der Fall ist).</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v>
      </c>
      <c r="E25" s="166" t="str" cm="1">
        <f t="array" aca="1" ref="E25" ca="1">IF(ISBLANK(INDIRECT("Gesamt!"&amp;E$1&amp;$A25)),"",INDIRECT("Gesamt!"&amp;E$1&amp;$A25))</f>
        <v>Es wurde kein weiteren Zusammenhangs- oder Konzentrationsmaß berechnet.</v>
      </c>
    </row>
    <row r="26" spans="1:5" ht="85"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1</v>
      </c>
      <c r="E26" s="166" t="str" cm="1">
        <f t="array" aca="1" ref="E26" ca="1">IF(ISBLANK(INDIRECT("Gesamt!"&amp;E$1&amp;$A26)),"",INDIRECT("Gesamt!"&amp;E$1&amp;$A26))</f>
        <v>Abb.1 und Abb.6 sind sinnvoll und gut konzipiert. Die Achsenbeschriftung der Abb.6 ist jedoch stark verbesserungsfähig (Ähnliches gilt für Abb.7).</v>
      </c>
    </row>
    <row r="27" spans="1:5" ht="51"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1.5</v>
      </c>
      <c r="E27" s="166" t="str" cm="1">
        <f t="array" aca="1" ref="E27" ca="1">IF(ISBLANK(INDIRECT("Gesamt!"&amp;E$1&amp;$A27)),"",INDIRECT("Gesamt!"&amp;E$1&amp;$A27))</f>
        <v>Es ist klar zu erkennen, dass die Autoren auf ein Ziel hinarbeiten, die Argumentation ist im Rahmen der Darstellung ok, aber unvollständig.</v>
      </c>
    </row>
    <row r="28" spans="1:5" ht="120"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0.75</v>
      </c>
      <c r="E28" s="59" t="str" cm="1">
        <f t="array" aca="1" ref="E28" ca="1">IF(ISBLANK(INDIRECT("Gesamt!"&amp;E$1&amp;$A28)),"",INDIRECT("Gesamt!"&amp;E$1&amp;$A28))</f>
        <v>Der Code von Anhang 1.1 passt nicht zur Arbeit. Die Arbeit zeigt eine ggplot Grafik, ihr Code erzeugt eine andere Grafik. Der Code in Anhang 1.2 erzeugt eine "Summarystastistik" für alle Variablen im Datensatz, nicht nur für die Verwendeten. Abb.2 bis Abb.5 sind Screenshots die in einer wissenschaftlichen Arbeit nichts zu suchen haben. Ein Screenshot von Zahlen ist keine Abbildung. Die erste Quellenangabe im Literaturverzeichnis ist falsch formatiert.</v>
      </c>
    </row>
    <row r="29" spans="1:5" ht="171"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5.25</v>
      </c>
      <c r="E29" s="48" t="str" cm="1">
        <f t="array" aca="1" ref="E29" ca="1">IF(ISBLANK(INDIRECT("Gesamt!"&amp;E$1&amp;$A29)),"",INDIRECT("Gesamt!"&amp;E$1&amp;$A29))</f>
        <v>Verzichten Sie auf Screenshots und erstellen Sie ordentliche Tabellen! Die R-Codes können Sie in einer Datei zusammenfügen, dann spart man sich beim Nachvollziehen das mehrfache Downloaden der Daten und das unnötige multiple Ausführen der Bereinigungen.  Organisieren Sie sich so, dass Sie einen Verantwortlichen für die finale Abgabe haben, der dafür zuständig ist, dass alle Grafiken scharf und gut lesbar sind, alle Textsegmente flüssig ineinander übergehen, die einzelnen Argumentationen passgenau sind und die Arbeit eine abgeschlossenen Einheit bildet.</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Die Schalker</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1.5</v>
      </c>
      <c r="E33" s="48" t="str" cm="1">
        <f t="array" aca="1" ref="E33" ca="1">IF(ISBLANK(INDIRECT("Gesamt!"&amp;E$1&amp;$A33)),"",INDIRECT("Gesamt!"&amp;E$1&amp;$A33))</f>
        <v xml:space="preserve">Die deskriptive Statistik ist nachvollziehbar und infromativ, jedoch unvollständig. So werden für die Variablen in Kap.2.1 keine Streuungsmaße gezeigt. Die berechneten Werte werden zwar gezeigt und benannt, aber an vielen Stellen nicht Interpretiert oder hinsichtlich Ihrer faktischen Bedeutung diskutiert. </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3</v>
      </c>
      <c r="E34" s="166" t="str" cm="1">
        <f t="array" aca="1" ref="E34" ca="1">IF(ISBLANK(INDIRECT("Gesamt!"&amp;E$1&amp;$A34)),"",INDIRECT("Gesamt!"&amp;E$1&amp;$A34))</f>
        <v xml:space="preserve">Regression: Wieso die Autoren lediglich eine univariate Regression zeigen ist unklar. Die gezeigten Werte sind ok, jedoch ungewähnlihc kompliziert abgebildet. </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2.5</v>
      </c>
      <c r="E35" s="166" t="str" cm="1">
        <f t="array" aca="1" ref="E35" ca="1">IF(ISBLANK(INDIRECT("Gesamt!"&amp;E$1&amp;$A35)),"",INDIRECT("Gesamt!"&amp;E$1&amp;$A35))</f>
        <v>Varianzanalyse + paarweise T-Tests: Die Analyse is gurndsätzlich in Ordnung, jedoch ist unklar was in den Tabellen dargestellt wird, da diese weder hinreichen beschrieben noch verständlich im Fließtext erläutert werden. So scheint Tab.6 lediglich p-Werte zu zeigen, die faktische Größenordnung der damit untersuchten Unterscheide bliebt dem Leser jedoch vorenthalten.</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2</v>
      </c>
      <c r="E36" s="166" t="str" cm="1">
        <f t="array" aca="1" ref="E36" ca="1">IF(ISBLANK(INDIRECT("Gesamt!"&amp;E$1&amp;$A36)),"",INDIRECT("Gesamt!"&amp;E$1&amp;$A36))</f>
        <v>Der Argumentationsstil der Arbeit ist weitgehend nachvollziehbar,  faktenorientiert und auf einen erkennbaren Sachzweck hin ausgerichtet.</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1.5</v>
      </c>
      <c r="E37" s="166" t="str" cm="1">
        <f t="array" aca="1" ref="E37" ca="1">IF(ISBLANK(INDIRECT("Gesamt!"&amp;E$1&amp;$A37)),"",INDIRECT("Gesamt!"&amp;E$1&amp;$A37))</f>
        <v xml:space="preserve"> Die Aussagen im Fazit sind nachvollziehbar und die generierten Aussagen transparent und konstruktiv. Wirklich eKritik am eigenen Vrogehen fehlt jedoch vollständig.</v>
      </c>
    </row>
    <row r="38" spans="1:5" ht="85"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0.5</v>
      </c>
      <c r="E38" s="166" t="str" cm="1">
        <f t="array" aca="1" ref="E38" ca="1">IF(ISBLANK(INDIRECT("Gesamt!"&amp;E$1&amp;$A38)),"",INDIRECT("Gesamt!"&amp;E$1&amp;$A38))</f>
        <v>Einige Tabellen sind lediglich Screenshots. Der Arbeit fehlt durchgehend die Formalisierung, dadurch sind z.B. die auf S.12 gezeigten Regressionsgleichungen schwer nachvollziehbar. Wieso die Autoren hier keine üblich eNotation nutzen ist unklar. Gleiches gilt für die weitgehend achtlos kopirten Inahlte der Varianzanalyse.</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1</v>
      </c>
      <c r="E39" s="59" t="str" cm="1">
        <f t="array" aca="1" ref="E39" ca="1">IF(ISBLANK(INDIRECT("Gesamt!"&amp;E$1&amp;$A39)),"",INDIRECT("Gesamt!"&amp;E$1&amp;$A39))</f>
        <v>R-Datei ok, teilweise wären ausführliche Kommentare Wünscheswert.</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12</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Die Schalker</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1.0999999999999999</v>
      </c>
      <c r="E42" s="48" t="str" cm="1">
        <f t="array" aca="1" ref="E42" ca="1">IF(ISBLANK(INDIRECT("Gesamt!"&amp;E$1&amp;$A42)),"",INDIRECT("Gesamt!"&amp;E$1&amp;$A42))</f>
        <v>(55,0 %)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5.25</v>
      </c>
      <c r="E43" s="48" t="str" cm="1">
        <f t="array" aca="1" ref="E43" ca="1">IF(ISBLANK(INDIRECT("Gesamt!"&amp;E$1&amp;$A43)),"",INDIRECT("Gesamt!"&amp;E$1&amp;$A43))</f>
        <v>(65,6 %)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12</v>
      </c>
      <c r="E44" s="59" t="str" cm="1">
        <f t="array" aca="1" ref="E44" ca="1">IF(ISBLANK(INDIRECT("Gesamt!"&amp;E$1&amp;$A44)),"",INDIRECT("Gesamt!"&amp;E$1&amp;$A44))</f>
        <v>(80,0 %)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18.350000000000001</v>
      </c>
      <c r="E45" s="55" t="str" cm="1">
        <f t="array" aca="1" ref="E45" ca="1">IF(ISBLANK(INDIRECT("Gesamt!"&amp;E$1&amp;$A45)),"",INDIRECT("Gesamt!"&amp;E$1&amp;$A45))</f>
        <v>(73,4 %)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18.5</v>
      </c>
      <c r="E46" s="55" t="str" cm="1">
        <f t="array" aca="1" ref="E46" ca="1">IF(ISBLANK(INDIRECT("Gesamt!"&amp;E$1&amp;$A46)),"",INDIRECT("Gesamt!"&amp;E$1&amp;$A46))</f>
        <v>(74,0 %)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0.875</v>
      </c>
      <c r="E47" s="62" t="str" cm="1">
        <f t="array" aca="1" ref="E47" ca="1">IF(ISBLANK(INDIRECT("Gesamt!"&amp;E$1&amp;$A47)),"",INDIRECT("Gesamt!"&amp;E$1&amp;$A47))</f>
        <v>( B )</v>
      </c>
    </row>
  </sheetData>
  <mergeCells count="2">
    <mergeCell ref="B2:E2"/>
    <mergeCell ref="B3:E3"/>
  </mergeCells>
  <conditionalFormatting sqref="E7">
    <cfRule type="expression" dxfId="59" priority="7">
      <formula>F7=FALSE</formula>
    </cfRule>
  </conditionalFormatting>
  <conditionalFormatting sqref="D7">
    <cfRule type="expression" dxfId="58" priority="1">
      <formula>F7=FALSE</formula>
    </cfRule>
  </conditionalFormatting>
  <conditionalFormatting sqref="E8">
    <cfRule type="expression" dxfId="57" priority="8">
      <formula>F8=FALSE</formula>
    </cfRule>
  </conditionalFormatting>
  <conditionalFormatting sqref="D8">
    <cfRule type="expression" dxfId="56" priority="2">
      <formula>F8=FALSE</formula>
    </cfRule>
  </conditionalFormatting>
  <conditionalFormatting sqref="D9">
    <cfRule type="expression" dxfId="55" priority="3">
      <formula>F9=FALSE</formula>
    </cfRule>
  </conditionalFormatting>
  <conditionalFormatting sqref="D10">
    <cfRule type="expression" dxfId="54" priority="4">
      <formula>F10=FALSE</formula>
    </cfRule>
  </conditionalFormatting>
  <conditionalFormatting sqref="D11">
    <cfRule type="expression" dxfId="53" priority="5">
      <formula>F11=FALSE</formula>
    </cfRule>
  </conditionalFormatting>
  <conditionalFormatting sqref="D12">
    <cfRule type="expression" dxfId="52" priority="6">
      <formula>F12=FALSE</formula>
    </cfRule>
  </conditionalFormatting>
  <conditionalFormatting sqref="E9">
    <cfRule type="expression" dxfId="51" priority="9">
      <formula>F9=FALSE</formula>
    </cfRule>
  </conditionalFormatting>
  <conditionalFormatting sqref="E10">
    <cfRule type="expression" dxfId="50" priority="10">
      <formula>F10=FALSE</formula>
    </cfRule>
  </conditionalFormatting>
  <conditionalFormatting sqref="E11">
    <cfRule type="expression" dxfId="49" priority="11">
      <formula>F11=FALSE</formula>
    </cfRule>
  </conditionalFormatting>
  <conditionalFormatting sqref="E12">
    <cfRule type="expression" dxfId="48"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B55A0-2F07-0A45-B13D-A3CCCE6F117D}">
  <sheetPr codeName="Tabelle10">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V</v>
      </c>
      <c r="E1" s="16" t="str">
        <f>SUBSTITUTE(ADDRESS(1,A2+1,4),"1","")</f>
        <v>W</v>
      </c>
      <c r="F1" s="16" t="str">
        <f>SUBSTITUTE(ADDRESS(1,A2+2,4),"1","")</f>
        <v>X</v>
      </c>
    </row>
    <row r="2" spans="1:7" ht="31" x14ac:dyDescent="0.35">
      <c r="A2" s="167">
        <v>22</v>
      </c>
      <c r="B2" s="194" t="str" cm="1">
        <f t="array" aca="1" ref="B2" ca="1">"Feedback - Gruppe: "&amp;IF(ISBLANK(INDIRECT("Gesamt!"&amp;E$1&amp;$A5)),"",INDIRECT("Gesamt!"&amp;E$1&amp;$A5))</f>
        <v>Feedback - Gruppe: JAMT</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JAMT</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30196797</v>
      </c>
      <c r="E7" s="48" t="str" cm="1">
        <f t="array" aca="1" ref="E7" ca="1">IF(ISBLANK(INDIRECT("Gesamt!"&amp;E$1&amp;$A7)),"",INDIRECT("Gesamt!"&amp;E$1&amp;$A7))</f>
        <v>Julia Loobes</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30191721</v>
      </c>
      <c r="E8" s="48" t="str" cm="1">
        <f t="array" aca="1" ref="E8" ca="1">IF(ISBLANK(INDIRECT("Gesamt!"&amp;E$1&amp;$A8)),"",INDIRECT("Gesamt!"&amp;E$1&amp;$A8))</f>
        <v>Mara Jonalik</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30197330</v>
      </c>
      <c r="E9" s="48" t="str" cm="1">
        <f t="array" aca="1" ref="E9" ca="1">IF(ISBLANK(INDIRECT("Gesamt!"&amp;E$1&amp;$A9)),"",INDIRECT("Gesamt!"&amp;E$1&amp;$A9))</f>
        <v>Tina Kebernik</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301919291</v>
      </c>
      <c r="E10" s="48" t="str" cm="1">
        <f t="array" aca="1" ref="E10" ca="1">IF(ISBLANK(INDIRECT("Gesamt!"&amp;E$1&amp;$A10)),"",INDIRECT("Gesamt!"&amp;E$1&amp;$A10))</f>
        <v>Amela Kurbardovic</v>
      </c>
      <c r="F10" s="160" t="b" cm="1">
        <f t="array" aca="1" ref="F10" ca="1">IF(ISBLANK(INDIRECT("Gesamt!"&amp;F$1&amp;$A10)),"",INDIRECT("Gesamt!"&amp;F$1&amp;$A10))</f>
        <v>1</v>
      </c>
      <c r="G10" s="108"/>
    </row>
    <row r="11" spans="1:7" ht="17" x14ac:dyDescent="0.2">
      <c r="A11">
        <v>8</v>
      </c>
      <c r="B11" s="63" t="str">
        <f ca="1">E7 &amp; " (Gruppensprecher)"</f>
        <v>Julia Loobes (Gruppensprecher)</v>
      </c>
      <c r="C11" s="53" t="str" cm="1">
        <f t="array" aca="1" ref="C11" ca="1">IF(ISBLANK(INDIRECT("Gesamt!"&amp;C$1&amp;$A11)),"",INDIRECT("Gesamt!"&amp;C$1&amp;$A11))</f>
        <v/>
      </c>
      <c r="D11" s="48" cm="1">
        <f t="array" aca="1" ref="D11" ca="1">IF(ISBLANK(INDIRECT("Gesamt!"&amp;D$1&amp;$A11)),"",INDIRECT("Gesamt!"&amp;D$1&amp;$A11))</f>
        <v>10054346</v>
      </c>
      <c r="E11" s="48" t="str" cm="1">
        <f t="array" aca="1" ref="E11" ca="1">IF(ISBLANK(INDIRECT("Gesamt!"&amp;E$1&amp;$A11)),"",INDIRECT("Gesamt!"&amp;E$1&amp;$A11))</f>
        <v>Viktoria Littich</v>
      </c>
      <c r="F11" s="160" t="b" cm="1">
        <f t="array" aca="1" ref="F11" ca="1">IF(ISBLANK(INDIRECT("Gesamt!"&amp;F$1&amp;$A11)),"",INDIRECT("Gesamt!"&amp;F$1&amp;$A11))</f>
        <v>1</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JAMT</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85"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0.3</v>
      </c>
      <c r="E16" s="48" t="str" cm="1">
        <f t="array" aca="1" ref="E16" ca="1">IF(ISBLANK(INDIRECT("Gesamt!"&amp;E$1&amp;$A16)),"",INDIRECT("Gesamt!"&amp;E$1&amp;$A16))</f>
        <v>Als Ziel ist lediglich angegeben  Daten zu analysieren und bereitzustellen, was für das Ziel der Seminararbeit nicht ausreichen ist. Die konkrete Ausgestaltung der zentralen Forschungsfrage ist hier wesentlich und nicht nur eine Fokussierung.</v>
      </c>
    </row>
    <row r="17" spans="1:5" ht="170"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0.2</v>
      </c>
      <c r="E17" s="163" t="str" cm="1">
        <f t="array" aca="1" ref="E17" ca="1">IF(ISBLANK(INDIRECT("Gesamt!"&amp;E$1&amp;$A17)),"",INDIRECT("Gesamt!"&amp;E$1&amp;$A17))</f>
        <v>Der tägliche Verkehr in NYC ist nicht mit der Rushhour gleichzusetzen. Die Beschreibung des Verlaufs der Arbeit enthält nur deskriptive Informationen aber Vernachlässigt Zusammenhänge weitgehend ein Zusammenhang mit der Unehrlichkeit von Taxifahrern ist hier nicht mehr erkennbar. Die Motivation des Themas ist wenig ausformuliert (Wieso und für wen führen Sie die Untersuchung durch? Wer profitiert von Ihren Ergebnissen?). Der fünfte Abschnitt des Exposés hat nur einen losen wenig ausgeprägten Zusammenhang mit den restlichen Ausführungen der Arbeit.</v>
      </c>
    </row>
    <row r="18" spans="1:5" ht="120"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0.2</v>
      </c>
      <c r="E18" s="59" t="str" cm="1">
        <f t="array" aca="1" ref="E18" ca="1">IF(ISBLANK(INDIRECT("Gesamt!"&amp;E$1&amp;$A18)),"",INDIRECT("Gesamt!"&amp;E$1&amp;$A18))</f>
        <v>Das Exposé nutzt zwei Quellen, es ist aber kein Literaturverzeichnis angehängt. Die Formulierung über die Unehrlichkeit von Taxifahrern ist ungenau, nicht objektiv und wenig wissenschaftlich formuliert. Es ist zudem unklar wie die Autoren diese Unehrlichkeit (das Fahren von Umwegen) faktisch messen wollen. Das Deckblatt enthält bunte Bilder und wirkt dadurch wenig wissenschaftlich, die Angabe des Betreuers fehlt.</v>
      </c>
    </row>
    <row r="19" spans="1:5" ht="222"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0.7</v>
      </c>
      <c r="E19" s="48" t="str" cm="1">
        <f t="array" aca="1" ref="E19" ca="1">IF(ISBLANK(INDIRECT("Gesamt!"&amp;E$1&amp;$A19)),"",INDIRECT("Gesamt!"&amp;E$1&amp;$A19))</f>
        <v>Fokussieren Sie auf ein Thema und lassen Sie sich nicht zu nicht belegbaren Aussagen über Unehrlichkeit von Personengruppen hinreißen, wenn Sie keine Informationen haben, mit denen Sei diese messen können. Eine gute Vorgehensweise ist die Bestimmung der Determinanten der Dauer von Taxifahrten. Hier können Sie bestimmte Vermutungen auf Basis der Variablen im Datensatz formulieren. Einige Informationen dahingehend sind bereits im Text angedeutet. Diese sollten Sie stärker herausstellen. Ergänzen Sie in jedem Fall ein Quellenverzeichnis, nutzen Sie ein Programm zur Literaturverwaltung (Citavi/Zotero/Mendeley/etc.). Sie sollten erwähnen mit welcher Software Sie arbeiten, wie Sie die Verwendung von R korrekt zitieren finden sie mit der R-Funktion 'citation()' heraus.</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JAMT</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119"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1</v>
      </c>
      <c r="E23" s="48" t="str" cm="1">
        <f t="array" aca="1" ref="E23" ca="1">IF(ISBLANK(INDIRECT("Gesamt!"&amp;E$1&amp;$A23)),"",INDIRECT("Gesamt!"&amp;E$1&amp;$A23))</f>
        <v>Die Lagemaße werden in ausreichender Form dargestellt. Streuungsmaße werden nicht für jeden Variable dargestellt. Aussagen der Form "… da es kaum Unterschiede zwischen den Fahrten gibt aber gleichzeitig eine sehr hohe Varianz vorhanden ist" lassen fehlenden Sachverstand vermitteln, da die Aussage sich selbst widerspricht und unklar ist was eine sehr hohe Varianz überhaupt sein soll. Sie geben dem Leser zudem keine Möglichkeit.</v>
      </c>
    </row>
    <row r="24" spans="1:5" ht="119"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v>
      </c>
      <c r="E24" s="166" t="str" cm="1">
        <f t="array" aca="1" ref="E24" ca="1">IF(ISBLANK(INDIRECT("Gesamt!"&amp;E$1&amp;$A24)),"",INDIRECT("Gesamt!"&amp;E$1&amp;$A24))</f>
        <v>In der Arbeit wurde kein Zusammenhangsmaß berechnet. Es wird lediglich behauptet, dass ein "klarer linearer Zusammenhang" festgestellt wurde (S.11). Maßzahlen dafür werden nicht gezeigt. Was ein klarer linearer Zusammenhang zudem überhaupt sein soll ist gänzlich unklar. Die Arbeit enthält an dieser Stelle keine verwertbaren Aussagen, da weder Richtung, Stärke oder numerische Beschreibung des Zusammenhangs genannt werden.</v>
      </c>
    </row>
    <row r="25" spans="1:5" ht="119"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v>
      </c>
      <c r="E25" s="166" t="str" cm="1">
        <f t="array" aca="1" ref="E25" ca="1">IF(ISBLANK(INDIRECT("Gesamt!"&amp;E$1&amp;$A25)),"",INDIRECT("Gesamt!"&amp;E$1&amp;$A25))</f>
        <v xml:space="preserve">Auf S.12 wird über Zusammenhänge der Anzahl der Fahrten über die Zeit gesprochen und argumentiert, dass diese sich nicht signifikant unterscheiden. Solche Aussagen ohne Hypothesentest und genaue Definition in welcher Hinsicht diese Datenreihen sich nicht unterscheiden sind irreführend, falsch und unwissenschaftlich. Die zugehörige Grafik ist verzerrt, verpixelt und nicht ordentlich beschriftet. </v>
      </c>
    </row>
    <row r="26" spans="1:5" ht="153"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0.5</v>
      </c>
      <c r="E26" s="166" t="str" cm="1">
        <f t="array" aca="1" ref="E26" ca="1">IF(ISBLANK(INDIRECT("Gesamt!"&amp;E$1&amp;$A26)),"",INDIRECT("Gesamt!"&amp;E$1&amp;$A26))</f>
        <v>Abb.1 und Abb.3 stellen Variablen des gleichen Saklenniveaus dar, wieso die Darstellungen jedoch unterschiedlich sind ist unklar. Wieso offensichtlich unplausible oder vermutlich fehlerhafte Werte erst auf S.9 entfernt werden und in allen vorherigen Berechnungen enthalten sind ist unklar. Auf S.11 werden dann nochmal Ausreißer entfernt. Sodass anscheinend jedes Unterkapitel mit einen (leicht) andren Datensatz arbeitet. Die übrigen Diagramme sind stark Mängelbehaftet und teilweise in keiner Weise in der Arbeit beschrieben.</v>
      </c>
    </row>
    <row r="27" spans="1:5" ht="136"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0.5</v>
      </c>
      <c r="E27" s="166" t="str" cm="1">
        <f t="array" aca="1" ref="E27" ca="1">IF(ISBLANK(INDIRECT("Gesamt!"&amp;E$1&amp;$A27)),"",INDIRECT("Gesamt!"&amp;E$1&amp;$A27))</f>
        <v>Die Ausführungen zu den Variablen haben in der Einleitung nichts verloren (Wieso wollen sie überhaupt eine Abgrenzung die Sie selbst künstlich einführen untersuchen? Sie wiedersprechen sich auf S.3 und S.4 in diesem Punkt!). Die Einleitung fokussiert zuweilen auf den technischen Prozess der Untersuchung (neue Variablen,...), der jedoch nicht relevant für das Problem und die untersuchte Fragestellung ist. Das 25% Quantil ist nicht das untere Quantil (S.5).</v>
      </c>
    </row>
    <row r="28" spans="1:5" ht="171"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0.5</v>
      </c>
      <c r="E28" s="59" t="str" cm="1">
        <f t="array" aca="1" ref="E28" ca="1">IF(ISBLANK(INDIRECT("Gesamt!"&amp;E$1&amp;$A28)),"",INDIRECT("Gesamt!"&amp;E$1&amp;$A28))</f>
        <v>Das Inhaltsverzeichnis weist eine vom Rest der Arbeit abweichende Schriftgröße und Schriftart auf. Die sprachliche Ausgestaltung der Arbeit ist zudem verbesserungsfähig (z.B. S.3, "den Determinanten" Determinanten sind Einflussgrößen). Wissenschaftliche Arbeiten schreibt man im Präsenz. Abb.2 (S.11) hat nichts mit dem diskutieren Sachverhalt zu tun. Der Text enthält viele Fehler, wie falsch geschrieben Wörter und unvollständige Sätze (z.B. S.11). Das Literaturverzeichnis ist u.a. ungenügend Formatiert (Namen der Autoren, Groß/Kleinschreibung, Qualität der Quellen).</v>
      </c>
    </row>
    <row r="29" spans="1:5" ht="373"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2.5</v>
      </c>
      <c r="E29" s="48" t="str" cm="1">
        <f t="array" aca="1" ref="E29" ca="1">IF(ISBLANK(INDIRECT("Gesamt!"&amp;E$1&amp;$A29)),"",INDIRECT("Gesamt!"&amp;E$1&amp;$A29))</f>
        <v>Sie müssen die Rigorosität Ihrer Argumentation verbessern und mit dem in der Veranstaltung gelerntem Vokabular arbeiten. Die prozessualen Beschreibungen sind für den Leser der Arbeit nicht relevant, fokussieren Sie auf Inhalt, nicht auf den Prozess den Sie durchlaufen haben (z.B. S. "Die Werte aus dem neuen Dataframe werden anschließend..."). Gegenstand der Zwischenabgabe ist die deskriptive Statistik. Vermeiden Sie Vermischungen von Inferenzstatistik und deskriptiver Statistik. In der Vorlesung wurde zudem mehrfach darauf hingewiesen, dass ein Hypothesentest ohne Nennung der konkreten Hypothesen überflüssig ist und dann unklar ist was Sie faktisch tun. Legen Sie einen Verantwortlichen für die Endabgabe fest der alle Texte liest und in eine einheitliche Form bringt, Aussagen wie "Mean of" sind für eine auf Deutsch abgefasste wissenschaftliche Arbeit unangemessen. Von Ihnen wurden zwei Diagramme gefordert, Ihre Arbeit enthält deutlich mehr, keines der gezeigten Diagramme ist ohne Fehler, die Datenbasis aller Diagramme scheint sich zu unterscheiden und die Qualität der Diagramme ist teilweise sehr schlecht. Konzentrieren sie sich auf die geforderten Mindestanforderungen und stellen Sei diese sicher bevor Sie ergänzende Leistungen erbringen. Zwei fehlerfreie und Aussagekräftige Diagramme sind deutlich besser als 8 mangelhafte.</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JAMT</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0.5</v>
      </c>
      <c r="E33" s="48" t="str" cm="1">
        <f t="array" aca="1" ref="E33" ca="1">IF(ISBLANK(INDIRECT("Gesamt!"&amp;E$1&amp;$A33)),"",INDIRECT("Gesamt!"&amp;E$1&amp;$A33))</f>
        <v>Die Arbeit enthält keien Streuungs oder Zusammenhangsamße.</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1</v>
      </c>
      <c r="E34" s="166" t="str" cm="1">
        <f t="array" aca="1" ref="E34" ca="1">IF(ISBLANK(INDIRECT("Gesamt!"&amp;E$1&amp;$A34)),"",INDIRECT("Gesamt!"&amp;E$1&amp;$A34))</f>
        <v>Regression: dIe Autoren führen nur eine univariate Regression durch, zeigen keinen Output und diskutieren keine Regressionsparameter. Die untersuchte Hypothese ist zudem faktisch unebgründet, es wird kein Wirkmechanismus diskutiert.</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1</v>
      </c>
      <c r="E35" s="166" t="str" cm="1">
        <f t="array" aca="1" ref="E35" ca="1">IF(ISBLANK(INDIRECT("Gesamt!"&amp;E$1&amp;$A35)),"",INDIRECT("Gesamt!"&amp;E$1&amp;$A35))</f>
        <v>Chi-Quadrat-Test: Die getätigten Aussagen sind unbegründet, gleiches gilt für di eHypothese. Laut der Atuoren gibt es Zellhäufigkeiten unter 5, bennenn diese aber nicht und passen die Untersuchung auch ncih tin adäquater Art und Weise an.</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0.5</v>
      </c>
      <c r="E36" s="166" t="str" cm="1">
        <f t="array" aca="1" ref="E36" ca="1">IF(ISBLANK(INDIRECT("Gesamt!"&amp;E$1&amp;$A36)),"",INDIRECT("Gesamt!"&amp;E$1&amp;$A36))</f>
        <v>Weite Teile der Arbeit sind unbegründet. S.5 hat zum Ziel die Unterteilung in kurze/mittlere/lange Fahrten zu begründen, hat aber faktisch keinen Inhalt und begründet die gewählte Unterteilung weder inhaltlich noch empirisch.</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1</v>
      </c>
      <c r="E37" s="166" t="str" cm="1">
        <f t="array" aca="1" ref="E37" ca="1">IF(ISBLANK(INDIRECT("Gesamt!"&amp;E$1&amp;$A37)),"",INDIRECT("Gesamt!"&amp;E$1&amp;$A37))</f>
        <v xml:space="preserve">Die Argumentation der Autoren weißt zahlreiche Defizite auf und ist nur selten überzeugend. </v>
      </c>
    </row>
    <row r="38" spans="1:5" ht="51"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0.5</v>
      </c>
      <c r="E38" s="166" t="str" cm="1">
        <f t="array" aca="1" ref="E38" ca="1">IF(ISBLANK(INDIRECT("Gesamt!"&amp;E$1&amp;$A38)),"",INDIRECT("Gesamt!"&amp;E$1&amp;$A38))</f>
        <v>Die Kapitel sind nicht nummeriert und der gesamte Hauptteil der Arbeit in einem Kapitel zusammengefasst ("Beschreibung des Datensatzes").</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0.5</v>
      </c>
      <c r="E39" s="59" t="str" cm="1">
        <f t="array" aca="1" ref="E39" ca="1">IF(ISBLANK(INDIRECT("Gesamt!"&amp;E$1&amp;$A39)),"",INDIRECT("Gesamt!"&amp;E$1&amp;$A39))</f>
        <v>Die R-Datei ist nicht Abgabefertig formatiert, enthält Fehler und unnötigen Programmcode.</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5</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JAMT</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0.7</v>
      </c>
      <c r="E42" s="48" t="str" cm="1">
        <f t="array" aca="1" ref="E42" ca="1">IF(ISBLANK(INDIRECT("Gesamt!"&amp;E$1&amp;$A42)),"",INDIRECT("Gesamt!"&amp;E$1&amp;$A42))</f>
        <v>(35,0 %)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2.5</v>
      </c>
      <c r="E43" s="48" t="str" cm="1">
        <f t="array" aca="1" ref="E43" ca="1">IF(ISBLANK(INDIRECT("Gesamt!"&amp;E$1&amp;$A43)),"",INDIRECT("Gesamt!"&amp;E$1&amp;$A43))</f>
        <v>(31,3 %)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5</v>
      </c>
      <c r="E44" s="59" t="str" cm="1">
        <f t="array" aca="1" ref="E44" ca="1">IF(ISBLANK(INDIRECT("Gesamt!"&amp;E$1&amp;$A44)),"",INDIRECT("Gesamt!"&amp;E$1&amp;$A44))</f>
        <v>(33,3 %)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8.1999999999999993</v>
      </c>
      <c r="E45" s="55" t="str" cm="1">
        <f t="array" aca="1" ref="E45" ca="1">IF(ISBLANK(INDIRECT("Gesamt!"&amp;E$1&amp;$A45)),"",INDIRECT("Gesamt!"&amp;E$1&amp;$A45))</f>
        <v>(32,8 %)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8.5</v>
      </c>
      <c r="E46" s="55" t="str" cm="1">
        <f t="array" aca="1" ref="E46" ca="1">IF(ISBLANK(INDIRECT("Gesamt!"&amp;E$1&amp;$A46)),"",INDIRECT("Gesamt!"&amp;E$1&amp;$A46))</f>
        <v>(34,0 %)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0.375</v>
      </c>
      <c r="E47" s="62" t="str" cm="1">
        <f t="array" aca="1" ref="E47" ca="1">IF(ISBLANK(INDIRECT("Gesamt!"&amp;E$1&amp;$A47)),"",INDIRECT("Gesamt!"&amp;E$1&amp;$A47))</f>
        <v>( C )</v>
      </c>
    </row>
  </sheetData>
  <mergeCells count="2">
    <mergeCell ref="B2:E2"/>
    <mergeCell ref="B3:E3"/>
  </mergeCells>
  <conditionalFormatting sqref="E7">
    <cfRule type="expression" dxfId="47" priority="7">
      <formula>F7=FALSE</formula>
    </cfRule>
  </conditionalFormatting>
  <conditionalFormatting sqref="D7">
    <cfRule type="expression" dxfId="46" priority="1">
      <formula>F7=FALSE</formula>
    </cfRule>
  </conditionalFormatting>
  <conditionalFormatting sqref="E8">
    <cfRule type="expression" dxfId="45" priority="8">
      <formula>F8=FALSE</formula>
    </cfRule>
  </conditionalFormatting>
  <conditionalFormatting sqref="D8">
    <cfRule type="expression" dxfId="44" priority="2">
      <formula>F8=FALSE</formula>
    </cfRule>
  </conditionalFormatting>
  <conditionalFormatting sqref="D9">
    <cfRule type="expression" dxfId="43" priority="3">
      <formula>F9=FALSE</formula>
    </cfRule>
  </conditionalFormatting>
  <conditionalFormatting sqref="D10">
    <cfRule type="expression" dxfId="42" priority="4">
      <formula>F10=FALSE</formula>
    </cfRule>
  </conditionalFormatting>
  <conditionalFormatting sqref="D11">
    <cfRule type="expression" dxfId="41" priority="5">
      <formula>F11=FALSE</formula>
    </cfRule>
  </conditionalFormatting>
  <conditionalFormatting sqref="D12">
    <cfRule type="expression" dxfId="40" priority="6">
      <formula>F12=FALSE</formula>
    </cfRule>
  </conditionalFormatting>
  <conditionalFormatting sqref="E9">
    <cfRule type="expression" dxfId="39" priority="9">
      <formula>F9=FALSE</formula>
    </cfRule>
  </conditionalFormatting>
  <conditionalFormatting sqref="E10">
    <cfRule type="expression" dxfId="38" priority="10">
      <formula>F10=FALSE</formula>
    </cfRule>
  </conditionalFormatting>
  <conditionalFormatting sqref="E11">
    <cfRule type="expression" dxfId="37" priority="11">
      <formula>F11=FALSE</formula>
    </cfRule>
  </conditionalFormatting>
  <conditionalFormatting sqref="E12">
    <cfRule type="expression" dxfId="36"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A7CB-70B8-2149-909C-0EE6B74D0B57}">
  <sheetPr codeName="Tabelle11">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Y</v>
      </c>
      <c r="E1" s="16" t="str">
        <f>SUBSTITUTE(ADDRESS(1,A2+1,4),"1","")</f>
        <v>Z</v>
      </c>
      <c r="F1" s="16" t="str">
        <f>SUBSTITUTE(ADDRESS(1,A2+2,4),"1","")</f>
        <v>AA</v>
      </c>
    </row>
    <row r="2" spans="1:7" ht="31" x14ac:dyDescent="0.35">
      <c r="A2" s="167">
        <v>25</v>
      </c>
      <c r="B2" s="194" t="str" cm="1">
        <f t="array" aca="1" ref="B2" ca="1">"Feedback - Gruppe: "&amp;IF(ISBLANK(INDIRECT("Gesamt!"&amp;E$1&amp;$A5)),"",INDIRECT("Gesamt!"&amp;E$1&amp;$A5))</f>
        <v>Feedback - Gruppe: Crystal Math</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Crystal Math</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30180510</v>
      </c>
      <c r="E7" s="48" t="str" cm="1">
        <f t="array" aca="1" ref="E7" ca="1">IF(ISBLANK(INDIRECT("Gesamt!"&amp;E$1&amp;$A7)),"",INDIRECT("Gesamt!"&amp;E$1&amp;$A7))</f>
        <v xml:space="preserve">Lisa Marie Meister </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10055546</v>
      </c>
      <c r="E8" s="48" t="str" cm="1">
        <f t="array" aca="1" ref="E8" ca="1">IF(ISBLANK(INDIRECT("Gesamt!"&amp;E$1&amp;$A8)),"",INDIRECT("Gesamt!"&amp;E$1&amp;$A8))</f>
        <v xml:space="preserve">Yvonne Katzmarski </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30068652</v>
      </c>
      <c r="E9" s="48" t="str" cm="1">
        <f t="array" aca="1" ref="E9" ca="1">IF(ISBLANK(INDIRECT("Gesamt!"&amp;E$1&amp;$A9)),"",INDIRECT("Gesamt!"&amp;E$1&amp;$A9))</f>
        <v>Seval Öz</v>
      </c>
      <c r="F9" s="160" t="b" cm="1">
        <f t="array" aca="1" ref="F9" ca="1">IF(ISBLANK(INDIRECT("Gesamt!"&amp;F$1&amp;$A9)),"",INDIRECT("Gesamt!"&amp;F$1&amp;$A9))</f>
        <v>0</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10059161</v>
      </c>
      <c r="E10" s="48" t="str" cm="1">
        <f t="array" aca="1" ref="E10" ca="1">IF(ISBLANK(INDIRECT("Gesamt!"&amp;E$1&amp;$A10)),"",INDIRECT("Gesamt!"&amp;E$1&amp;$A10))</f>
        <v>Cetin Kurt</v>
      </c>
      <c r="F10" s="160" t="b" cm="1">
        <f t="array" aca="1" ref="F10" ca="1">IF(ISBLANK(INDIRECT("Gesamt!"&amp;F$1&amp;$A10)),"",INDIRECT("Gesamt!"&amp;F$1&amp;$A10))</f>
        <v>0</v>
      </c>
      <c r="G10" s="108"/>
    </row>
    <row r="11" spans="1:7" ht="17" x14ac:dyDescent="0.2">
      <c r="A11">
        <v>8</v>
      </c>
      <c r="B11" s="63" t="str">
        <f ca="1">E7 &amp; " (Gruppensprecher)"</f>
        <v>Lisa Marie Meister  (Gruppensprecher)</v>
      </c>
      <c r="C11" s="53" t="str" cm="1">
        <f t="array" aca="1" ref="C11" ca="1">IF(ISBLANK(INDIRECT("Gesamt!"&amp;C$1&amp;$A11)),"",INDIRECT("Gesamt!"&amp;C$1&amp;$A11))</f>
        <v/>
      </c>
      <c r="D11" s="48" cm="1">
        <f t="array" aca="1" ref="D11" ca="1">IF(ISBLANK(INDIRECT("Gesamt!"&amp;D$1&amp;$A11)),"",INDIRECT("Gesamt!"&amp;D$1&amp;$A11))</f>
        <v>30196979</v>
      </c>
      <c r="E11" s="48" t="str" cm="1">
        <f t="array" aca="1" ref="E11" ca="1">IF(ISBLANK(INDIRECT("Gesamt!"&amp;E$1&amp;$A11)),"",INDIRECT("Gesamt!"&amp;E$1&amp;$A11))</f>
        <v>Firuzan Banaz</v>
      </c>
      <c r="F11" s="160" t="b" cm="1">
        <f t="array" aca="1" ref="F11" ca="1">IF(ISBLANK(INDIRECT("Gesamt!"&amp;F$1&amp;$A11)),"",INDIRECT("Gesamt!"&amp;F$1&amp;$A11))</f>
        <v>0</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cm="1">
        <f t="array" aca="1" ref="D12" ca="1">IF(ISBLANK(INDIRECT("Gesamt!"&amp;D$1&amp;$A12)),"",INDIRECT("Gesamt!"&amp;D$1&amp;$A12))</f>
        <v>30197976</v>
      </c>
      <c r="E12" s="48" t="str" cm="1">
        <f t="array" aca="1" ref="E12" ca="1">IF(ISBLANK(INDIRECT("Gesamt!"&amp;E$1&amp;$A12)),"",INDIRECT("Gesamt!"&amp;E$1&amp;$A12))</f>
        <v>Sarah Mensing</v>
      </c>
      <c r="F12" s="160" t="b" cm="1">
        <f t="array" aca="1" ref="F12" ca="1">IF(ISBLANK(INDIRECT("Gesamt!"&amp;F$1&amp;$A12)),"",INDIRECT("Gesamt!"&amp;F$1&amp;$A12))</f>
        <v>0</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Crystal Math</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85"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0.1</v>
      </c>
      <c r="E16" s="48" t="str" cm="1">
        <f t="array" aca="1" ref="E16" ca="1">IF(ISBLANK(INDIRECT("Gesamt!"&amp;E$1&amp;$A16)),"",INDIRECT("Gesamt!"&amp;E$1&amp;$A16))</f>
        <v xml:space="preserve">Die Frage "Welchen Einfluss New Yorkers Taxis auf den CO2 Anstieg haben" kann mit den Daten nicht beantwortet werden und ist als Frage ungeeignet, da die Autoren keine weiteren Datenquellen und Informationen Anführen auf Basis derer diese Frage beantwortet werden kann. </v>
      </c>
    </row>
    <row r="17" spans="1:5" ht="68"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0.1</v>
      </c>
      <c r="E17" s="163" t="str" cm="1">
        <f t="array" aca="1" ref="E17" ca="1">IF(ISBLANK(INDIRECT("Gesamt!"&amp;E$1&amp;$A17)),"",INDIRECT("Gesamt!"&amp;E$1&amp;$A17))</f>
        <v>Die erste Seite des Exposés ist nur Kontextinformation, die mit den faktischen Daten und abbildbaren Analysen nicht in Einklang gebracht werden kann.</v>
      </c>
    </row>
    <row r="18" spans="1:5" ht="86"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0.2</v>
      </c>
      <c r="E18" s="59" t="str" cm="1">
        <f t="array" aca="1" ref="E18" ca="1">IF(ISBLANK(INDIRECT("Gesamt!"&amp;E$1&amp;$A18)),"",INDIRECT("Gesamt!"&amp;E$1&amp;$A18))</f>
        <v xml:space="preserve">Das Quellenverzeichnis ist lediglich eine Liste mit Links, diese ist weder ordnungsgemäß zitiert noch mit den textuellen Ausgestaltungen verknüpft. Keine der verwendeten Quellen ist wissenschaftlich. Das Deckblatt enthält bunte Bilder ohne Bezug zum Thema. </v>
      </c>
    </row>
    <row r="19" spans="1:5" ht="273"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0.4</v>
      </c>
      <c r="E19" s="48" t="str" cm="1">
        <f t="array" aca="1" ref="E19" ca="1">IF(ISBLANK(INDIRECT("Gesamt!"&amp;E$1&amp;$A19)),"",INDIRECT("Gesamt!"&amp;E$1&amp;$A19))</f>
        <v>Finden Sie zunächst eine Fragestellung die mit den vorliegenden Daten auch beantwortbar ist oder nur leichte Erweiterungen der Datenbasis benötigt. Sie haben keinerlei Informationen zu den Fahrzeugen, den daraus resultierenden CO2 Ausstoß oder zur Fahrweise der Fahrer, sodass unklar ist was Sie überhaupt untersuchen wollen. Sie präsentieren keine Hypothese (Vermutung) die sich für die Untersuchung eignet. Arbeiten Sei zunächst an der Fragestellung (z.B. Hypothese: Die Dauer von Taxifahren ist abhängig von den Wochentagen an denen diese stattfinden.).  Ihre Gliederung sollte dahingehend überarbeitet werden, dass dort gespiegelt wird was sie mit welchen Variablen untersuchen. Ergänzen Sie in jedem Fall ein Quellenverzeichnis, nutzen Sie ein Programm zur Literaturverwaltung (Citavi/Zotero/Mendeley/etc.). Sie sollten erwähnen mit welcher Software Sie arbeiten, wie Sie die Verwendung von R korrekt zitieren finden sie mit der R-Funktion 'citation()' heraus.</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Crystal Math</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85"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1</v>
      </c>
      <c r="E23" s="48" t="str" cm="1">
        <f t="array" aca="1" ref="E23" ca="1">IF(ISBLANK(INDIRECT("Gesamt!"&amp;E$1&amp;$A23)),"",INDIRECT("Gesamt!"&amp;E$1&amp;$A23))</f>
        <v xml:space="preserve">Die Darstellung der deskriptiven Statistik für die Wochentage ist gut (S.12), aber unsauber formatiert. Wir arbeiten mit 4 Nachkommastellen, nicht mit 10 wie in Ihrer Tabelle.  Streuungsmaße für die relevanten Variablen fehlen nahezu vollständig. </v>
      </c>
    </row>
    <row r="24" spans="1:5" ht="102"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0.5</v>
      </c>
      <c r="E24" s="166" t="str" cm="1">
        <f t="array" aca="1" ref="E24" ca="1">IF(ISBLANK(INDIRECT("Gesamt!"&amp;E$1&amp;$A24)),"",INDIRECT("Gesamt!"&amp;E$1&amp;$A24))</f>
        <v>Die Berechnungen zum Korrelationskoeffizienten sind ok (S.14). Der Korrelationskoeffizient ist jedoch eine statistische Messgröße. Die Interpretation, dass die entsprechenden Werte in einem kausalen Zusammenhang stehen (S.13) ist falsch! Die rezeptartigen Darstellungen der Interpretation für alle möglichen Werte sind überflüssig.</v>
      </c>
    </row>
    <row r="25" spans="1:5" ht="102"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0.25</v>
      </c>
      <c r="E25" s="166" t="str" cm="1">
        <f t="array" aca="1" ref="E25" ca="1">IF(ISBLANK(INDIRECT("Gesamt!"&amp;E$1&amp;$A25)),"",INDIRECT("Gesamt!"&amp;E$1&amp;$A25))</f>
        <v xml:space="preserve">Die Kontingenztafel ist unplausibel, wieso unterteilen Sie die Fahrten in die gezeigten Intervalle? Ihre Ausführen zeigen zudem, dass Sie das Konzept von Zufallsvariablen nicht verinnerlicht haben (Ausführungen zur Unabhängigkeit auf S.10). Die generischen Texte in diesem (und andren) Kapitel/n der Arbeit sind überflüssig, da diese nur aus der Literatur abgeschrieben sind. </v>
      </c>
    </row>
    <row r="26" spans="1:5" ht="221"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0.25</v>
      </c>
      <c r="E26" s="166" t="str" cm="1">
        <f t="array" aca="1" ref="E26" ca="1">IF(ISBLANK(INDIRECT("Gesamt!"&amp;E$1&amp;$A26)),"",INDIRECT("Gesamt!"&amp;E$1&amp;$A26))</f>
        <v>Abb.1 ist eine Tortendiagramm, das mehr Platz in der Arbeit belegt als Informationen liefert und entsprechend nicht sinnvoll eingesetzt ist. Abb.3 wurde nicht mir R erstellt und suggeriert stetige Werte der X-Achse obwohl es sich bei der dargestellten Größe um eine diskrete Variable handelt. Die Y-Achse verfügt über keine Achsenbeschriftung. Die Abbildung auf S.12 ist nicht ordentlich beschriftet und verfügt über keine laufende Nummer, die Achsenbeschriftungen sind generisch und die Grafik im Text nicht beschrieben. Die Abbildung auf S.14 verfügt ebenfalls nicht über eine laufende Nummer und wurde nicht mit R erstellt. Die Grafik verfügt zudem nicht über Achsenbeschriftungen und die dargestellten Punkten sich so groß gewählt, dass einzelne Beobachtungen nicht erkennbar sind.</v>
      </c>
    </row>
    <row r="27" spans="1:5" ht="51"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0.25</v>
      </c>
      <c r="E27" s="166" t="str" cm="1">
        <f t="array" aca="1" ref="E27" ca="1">IF(ISBLANK(INDIRECT("Gesamt!"&amp;E$1&amp;$A27)),"",INDIRECT("Gesamt!"&amp;E$1&amp;$A27))</f>
        <v>Der Korrelationskoeffizient ist eine statistische Messgröße. Die Interpretation, dass die entsprechenden Werte in einem kausalen Zusammenhang stehen (S.13) ist falsch!</v>
      </c>
    </row>
    <row r="28" spans="1:5" ht="405"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0</v>
      </c>
      <c r="E28" s="59" t="str" cm="1">
        <f t="array" aca="1" ref="E28" ca="1">IF(ISBLANK(INDIRECT("Gesamt!"&amp;E$1&amp;$A28)),"",INDIRECT("Gesamt!"&amp;E$1&amp;$A28))</f>
        <v>Die Formatierung der Arbeit ist uneinheitlich und wenig stringent. Das Inhaltsverzeichnis bildet keinen klaren Analysefluss ab, sondern besteht aus wenig zusammenhängenden Begriffen (irritierenderweise enthält die Arbeit das Exposee das eine abweichende Gliederung zeigt). Grafische Darstellungen in der Arbeit sind unscharf, Tabellen sind teilweise unscharfe Screenshots anstelle sauber formatierter Tabellen (auch Tabellen werden zudem als Abbildungen bezeichnet). Formeln sind ebenfalls Screenshots, der Formelmodus der genutzten Textverarbeitung scheint den Autoren nicht bekannt, die in den Formeln verwendete Notation wird nicht eingeführt, die dargestellten Rechnung sind nicht konsistent mit der Darstellung der Zahlen (z.B. Dezimal- und Tausendertrennzeichen) der Tabellen bzw. Screenshots. Die Arbeit verfügt nicht über ein ordentliches Literaturverzeichnis, sondern enthält unter dem Punkt "Quellenverzeichnis" lediglich eine Auflistung von Links und nicht nachvollziehbaren Punkten. Das Wort "logisch" findet sich auffällig häufig in der Arbeit (logisch interpretiert, logisch herleiten, etc.) ohne einen wirklichen Mehrwert zu leisten, da die Autoren an besagten Stellen zumeist auf die Darlegung einer überzeugenden Argumentation verzichten. Ein zugehöriges R Skript wurde nicht eingereicht, sondern lediglich eine (üblicherweise ausgeblendete) Rhistory Datei. Die Auswertung ist dementsprechend weder korrekt eingereicht worden noch nachvollziehbar dargestellt.</v>
      </c>
    </row>
    <row r="29" spans="1:5" ht="307"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2.25</v>
      </c>
      <c r="E29" s="48" t="str" cm="1">
        <f t="array" aca="1" ref="E29" ca="1">IF(ISBLANK(INDIRECT("Gesamt!"&amp;E$1&amp;$A29)),"",INDIRECT("Gesamt!"&amp;E$1&amp;$A29))</f>
        <v>Ihre Abgabe wirkt wie unter Zeitdruck zusammenkopiert. Legen Sie einen Verantwortlichen fest, der die Texte vor der Abgabe liest und sowohl von der Erscheinung als auch vom Argumentationsfluss vereinheitlicht. Nutzen Sie den Formelmodus Ihrer Textverarbeitung und achten Sei darauf das die Formeln zum Text passen (Ihre Formel für die Korrelation enthält keine Kovarianz, ihr Text dazu schon). Verzichten Sei auf generische Beschreibungen der Maßzahlen, diese kann der Leser in jedem Buch nachlesen, liefern Sie Inhalte und Einblicke in die Daten die sie verwenden. Verbessern Sie die Struktur der Arbeit fanden Sie mit der Deskriptiven Statistik an (Lage + Streuungsmaße), Untermauern Sie ihre Vermutungen mit Maßzahlen zum Zusammenhang und überprüfen Sie diesen Zusammenhang im Teil der Inferenzstatistik. Ihre Arbeit ist für die wenigen relevanten Aussagen zu lang, kürzen Sie ihre Ausführungen, entfernen Sie Grafiken ohne Aussage und konzentrieren Sie sich auf die wesentlichen Punkte die Sie für die Beantwortung ihrer Frage benötigen.</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Crystal Math</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1.5</v>
      </c>
      <c r="E33" s="48" t="str" cm="1">
        <f t="array" aca="1" ref="E33" ca="1">IF(ISBLANK(INDIRECT("Gesamt!"&amp;E$1&amp;$A33)),"",INDIRECT("Gesamt!"&amp;E$1&amp;$A33))</f>
        <v>Die Autoren Arguemtneiren, dass Fehler im Datensatz vorhanden sind, enthaltem dem Leser die Anzahl der entfernten Beobachtungen jedoch vor. Wieso in Abb.2 keine ordentliche Grafik für Verteilungen gewählt wurde ist unklar. In der Arbeit werden keine univariaten Streuungsmaße gezeigt.</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0</v>
      </c>
      <c r="E34" s="166" t="str" cm="1">
        <f t="array" aca="1" ref="E34" ca="1">IF(ISBLANK(INDIRECT("Gesamt!"&amp;E$1&amp;$A34)),"",INDIRECT("Gesamt!"&amp;E$1&amp;$A34))</f>
        <v>Chi-Quadrat-Test: Die Atuoren nutzen für den Chi-QuadratTest zwei nicht-klassifizierte stetige Merkmale.</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1.5</v>
      </c>
      <c r="E35" s="166" t="str" cm="1">
        <f t="array" aca="1" ref="E35" ca="1">IF(ISBLANK(INDIRECT("Gesamt!"&amp;E$1&amp;$A35)),"",INDIRECT("Gesamt!"&amp;E$1&amp;$A35))</f>
        <v>Regression: Die gezeigte Formel passt nicht zur Ergebenistabelle (Abb.7). Die "Interpretation" der Ergebnisse ist mangelhaft, faktisch werden die ermittelten Koeffizienten überhaupt nicht interpretiert.</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1</v>
      </c>
      <c r="E36" s="166" t="str" cm="1">
        <f t="array" aca="1" ref="E36" ca="1">IF(ISBLANK(INDIRECT("Gesamt!"&amp;E$1&amp;$A36)),"",INDIRECT("Gesamt!"&amp;E$1&amp;$A36))</f>
        <v>Die Argumentation ist lückenhaft und weist an vielen Stellen Mängel auf (z.B. S.6 "mit Hilfe von deskriptiver Statistik (wird) gezeigt, ob die Passagieranzahl einen Einfluss auf die Dauer der Taxifahrt hat").</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1</v>
      </c>
      <c r="E37" s="166" t="str" cm="1">
        <f t="array" aca="1" ref="E37" ca="1">IF(ISBLANK(INDIRECT("Gesamt!"&amp;E$1&amp;$A37)),"",INDIRECT("Gesamt!"&amp;E$1&amp;$A37))</f>
        <v>Die Autoren versuchen einen Teil der aufgeworfenen Fragen zu beantworten.</v>
      </c>
    </row>
    <row r="38" spans="1:5" ht="68"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0.5</v>
      </c>
      <c r="E38" s="166" t="str" cm="1">
        <f t="array" aca="1" ref="E38" ca="1">IF(ISBLANK(INDIRECT("Gesamt!"&amp;E$1&amp;$A38)),"",INDIRECT("Gesamt!"&amp;E$1&amp;$A38))</f>
        <v>Tabellen bezeichnen die Autoren als Abbildung. Abb.3 zeigt laut Titel absolute und relative Häufigkeiten, die Tabelle enthält jedoch nur absolute Häufigkeiten. Formeln sind nur teilweise im Formelmodus gesetzt.</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0.5</v>
      </c>
      <c r="E39" s="59" t="str" cm="1">
        <f t="array" aca="1" ref="E39" ca="1">IF(ISBLANK(INDIRECT("Gesamt!"&amp;E$1&amp;$A39)),"",INDIRECT("Gesamt!"&amp;E$1&amp;$A39))</f>
        <v>Die R-Datei ist in der Form nicht ausführbar, da keine Daten eingelesen werden. Der Programmcode ist faktisch ungeordnet und nur schwer mit den Inahlten der Arbeit in Einklang zu bringen.</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6</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Crystal Math</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0.4</v>
      </c>
      <c r="E42" s="48" t="str" cm="1">
        <f t="array" aca="1" ref="E42" ca="1">IF(ISBLANK(INDIRECT("Gesamt!"&amp;E$1&amp;$A42)),"",INDIRECT("Gesamt!"&amp;E$1&amp;$A42))</f>
        <v>(20,0 %)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2.25</v>
      </c>
      <c r="E43" s="48" t="str" cm="1">
        <f t="array" aca="1" ref="E43" ca="1">IF(ISBLANK(INDIRECT("Gesamt!"&amp;E$1&amp;$A43)),"",INDIRECT("Gesamt!"&amp;E$1&amp;$A43))</f>
        <v>(28,1 %)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6</v>
      </c>
      <c r="E44" s="59" t="str" cm="1">
        <f t="array" aca="1" ref="E44" ca="1">IF(ISBLANK(INDIRECT("Gesamt!"&amp;E$1&amp;$A44)),"",INDIRECT("Gesamt!"&amp;E$1&amp;$A44))</f>
        <v>(40,0 %)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8.65</v>
      </c>
      <c r="E45" s="55" t="str" cm="1">
        <f t="array" aca="1" ref="E45" ca="1">IF(ISBLANK(INDIRECT("Gesamt!"&amp;E$1&amp;$A45)),"",INDIRECT("Gesamt!"&amp;E$1&amp;$A45))</f>
        <v>(34,6 %)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9</v>
      </c>
      <c r="E46" s="55" t="str" cm="1">
        <f t="array" aca="1" ref="E46" ca="1">IF(ISBLANK(INDIRECT("Gesamt!"&amp;E$1&amp;$A46)),"",INDIRECT("Gesamt!"&amp;E$1&amp;$A46))</f>
        <v>(36,0 %)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0.5</v>
      </c>
      <c r="E47" s="62" t="str" cm="1">
        <f t="array" aca="1" ref="E47" ca="1">IF(ISBLANK(INDIRECT("Gesamt!"&amp;E$1&amp;$A47)),"",INDIRECT("Gesamt!"&amp;E$1&amp;$A47))</f>
        <v>( C )</v>
      </c>
    </row>
  </sheetData>
  <mergeCells count="2">
    <mergeCell ref="B2:E2"/>
    <mergeCell ref="B3:E3"/>
  </mergeCells>
  <conditionalFormatting sqref="E7">
    <cfRule type="expression" dxfId="35" priority="7">
      <formula>F7=FALSE</formula>
    </cfRule>
  </conditionalFormatting>
  <conditionalFormatting sqref="D7">
    <cfRule type="expression" dxfId="34" priority="1">
      <formula>F7=FALSE</formula>
    </cfRule>
  </conditionalFormatting>
  <conditionalFormatting sqref="E8">
    <cfRule type="expression" dxfId="33" priority="8">
      <formula>F8=FALSE</formula>
    </cfRule>
  </conditionalFormatting>
  <conditionalFormatting sqref="D8">
    <cfRule type="expression" dxfId="32" priority="2">
      <formula>F8=FALSE</formula>
    </cfRule>
  </conditionalFormatting>
  <conditionalFormatting sqref="D9">
    <cfRule type="expression" dxfId="31" priority="3">
      <formula>F9=FALSE</formula>
    </cfRule>
  </conditionalFormatting>
  <conditionalFormatting sqref="D10">
    <cfRule type="expression" dxfId="30" priority="4">
      <formula>F10=FALSE</formula>
    </cfRule>
  </conditionalFormatting>
  <conditionalFormatting sqref="D11">
    <cfRule type="expression" dxfId="29" priority="5">
      <formula>F11=FALSE</formula>
    </cfRule>
  </conditionalFormatting>
  <conditionalFormatting sqref="D12">
    <cfRule type="expression" dxfId="28" priority="6">
      <formula>F12=FALSE</formula>
    </cfRule>
  </conditionalFormatting>
  <conditionalFormatting sqref="E9">
    <cfRule type="expression" dxfId="27" priority="9">
      <formula>F9=FALSE</formula>
    </cfRule>
  </conditionalFormatting>
  <conditionalFormatting sqref="E10">
    <cfRule type="expression" dxfId="26" priority="10">
      <formula>F10=FALSE</formula>
    </cfRule>
  </conditionalFormatting>
  <conditionalFormatting sqref="E11">
    <cfRule type="expression" dxfId="25" priority="11">
      <formula>F11=FALSE</formula>
    </cfRule>
  </conditionalFormatting>
  <conditionalFormatting sqref="E12">
    <cfRule type="expression" dxfId="24"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6A71-A201-1547-82A7-700E9A5D788E}">
  <sheetPr codeName="Tabelle14">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AB</v>
      </c>
      <c r="E1" s="16" t="str">
        <f>SUBSTITUTE(ADDRESS(1,A2+1,4),"1","")</f>
        <v>AC</v>
      </c>
      <c r="F1" s="16" t="str">
        <f>SUBSTITUTE(ADDRESS(1,A2+2,4),"1","")</f>
        <v>AD</v>
      </c>
    </row>
    <row r="2" spans="1:7" ht="31" x14ac:dyDescent="0.35">
      <c r="A2" s="167">
        <v>28</v>
      </c>
      <c r="B2" s="194" t="str" cm="1">
        <f t="array" aca="1" ref="B2" ca="1">"Feedback - Gruppe: "&amp;IF(ISBLANK(INDIRECT("Gesamt!"&amp;E$1&amp;$A5)),"",INDIRECT("Gesamt!"&amp;E$1&amp;$A5))</f>
        <v>Feedback - Gruppe: Mineralwasser 3</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Mineralwasser 3</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cm="1">
        <f t="array" aca="1" ref="D7" ca="1">IF(ISBLANK(INDIRECT("Gesamt!"&amp;D$1&amp;$A7)),"",INDIRECT("Gesamt!"&amp;D$1&amp;$A7))</f>
        <v>30184295</v>
      </c>
      <c r="E7" s="48" t="str" cm="1">
        <f t="array" aca="1" ref="E7" ca="1">IF(ISBLANK(INDIRECT("Gesamt!"&amp;E$1&amp;$A7)),"",INDIRECT("Gesamt!"&amp;E$1&amp;$A7))</f>
        <v xml:space="preserve">Tobias Förster </v>
      </c>
      <c r="F7" s="160" t="b" cm="1">
        <f t="array" aca="1" ref="F7" ca="1">IF(ISBLANK(INDIRECT("Gesamt!"&amp;F$1&amp;$A7)),"",INDIRECT("Gesamt!"&amp;F$1&amp;$A7))</f>
        <v>1</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cm="1">
        <f t="array" aca="1" ref="D8" ca="1">IF(ISBLANK(INDIRECT("Gesamt!"&amp;D$1&amp;$A8)),"",INDIRECT("Gesamt!"&amp;D$1&amp;$A8))</f>
        <v>30157495</v>
      </c>
      <c r="E8" s="48" t="str" cm="1">
        <f t="array" aca="1" ref="E8" ca="1">IF(ISBLANK(INDIRECT("Gesamt!"&amp;E$1&amp;$A8)),"",INDIRECT("Gesamt!"&amp;E$1&amp;$A8))</f>
        <v xml:space="preserve">Tim Gillner </v>
      </c>
      <c r="F8" s="160" t="b" cm="1">
        <f t="array" aca="1" ref="F8" ca="1">IF(ISBLANK(INDIRECT("Gesamt!"&amp;F$1&amp;$A8)),"",INDIRECT("Gesamt!"&amp;F$1&amp;$A8))</f>
        <v>1</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cm="1">
        <f t="array" aca="1" ref="D9" ca="1">IF(ISBLANK(INDIRECT("Gesamt!"&amp;D$1&amp;$A9)),"",INDIRECT("Gesamt!"&amp;D$1&amp;$A9))</f>
        <v>10056280</v>
      </c>
      <c r="E9" s="48" t="str" cm="1">
        <f t="array" aca="1" ref="E9" ca="1">IF(ISBLANK(INDIRECT("Gesamt!"&amp;E$1&amp;$A9)),"",INDIRECT("Gesamt!"&amp;E$1&amp;$A9))</f>
        <v xml:space="preserve">Carolin Wilde </v>
      </c>
      <c r="F9" s="160" t="b" cm="1">
        <f t="array" aca="1" ref="F9" ca="1">IF(ISBLANK(INDIRECT("Gesamt!"&amp;F$1&amp;$A9)),"",INDIRECT("Gesamt!"&amp;F$1&amp;$A9))</f>
        <v>1</v>
      </c>
      <c r="G9" s="108"/>
    </row>
    <row r="10" spans="1:7" ht="17" x14ac:dyDescent="0.2">
      <c r="A10">
        <v>7</v>
      </c>
      <c r="B10" s="64" t="s">
        <v>315</v>
      </c>
      <c r="C10" s="53" t="str" cm="1">
        <f t="array" aca="1" ref="C10" ca="1">IF(ISBLANK(INDIRECT("Gesamt!"&amp;C$1&amp;$A10)),"",INDIRECT("Gesamt!"&amp;C$1&amp;$A10))</f>
        <v/>
      </c>
      <c r="D10" s="48" cm="1">
        <f t="array" aca="1" ref="D10" ca="1">IF(ISBLANK(INDIRECT("Gesamt!"&amp;D$1&amp;$A10)),"",INDIRECT("Gesamt!"&amp;D$1&amp;$A10))</f>
        <v>30117662</v>
      </c>
      <c r="E10" s="48" t="str" cm="1">
        <f t="array" aca="1" ref="E10" ca="1">IF(ISBLANK(INDIRECT("Gesamt!"&amp;E$1&amp;$A10)),"",INDIRECT("Gesamt!"&amp;E$1&amp;$A10))</f>
        <v>Michelle Sonntag</v>
      </c>
      <c r="F10" s="160" t="b" cm="1">
        <f t="array" aca="1" ref="F10" ca="1">IF(ISBLANK(INDIRECT("Gesamt!"&amp;F$1&amp;$A10)),"",INDIRECT("Gesamt!"&amp;F$1&amp;$A10))</f>
        <v>1</v>
      </c>
      <c r="G10" s="108"/>
    </row>
    <row r="11" spans="1:7" ht="17" x14ac:dyDescent="0.2">
      <c r="A11">
        <v>8</v>
      </c>
      <c r="B11" s="63" t="str">
        <f ca="1">E7 &amp; " (Gruppensprecher)"</f>
        <v>Tobias Förster  (Gruppensprecher)</v>
      </c>
      <c r="C11" s="53" t="str" cm="1">
        <f t="array" aca="1" ref="C11" ca="1">IF(ISBLANK(INDIRECT("Gesamt!"&amp;C$1&amp;$A11)),"",INDIRECT("Gesamt!"&amp;C$1&amp;$A11))</f>
        <v/>
      </c>
      <c r="D11" s="48" cm="1">
        <f t="array" aca="1" ref="D11" ca="1">IF(ISBLANK(INDIRECT("Gesamt!"&amp;D$1&amp;$A11)),"",INDIRECT("Gesamt!"&amp;D$1&amp;$A11))</f>
        <v>30080553</v>
      </c>
      <c r="E11" s="48" t="str" cm="1">
        <f t="array" aca="1" ref="E11" ca="1">IF(ISBLANK(INDIRECT("Gesamt!"&amp;E$1&amp;$A11)),"",INDIRECT("Gesamt!"&amp;E$1&amp;$A11))</f>
        <v xml:space="preserve">Kevin Verhülsdonk </v>
      </c>
      <c r="F11" s="160" t="b" cm="1">
        <f t="array" aca="1" ref="F11" ca="1">IF(ISBLANK(INDIRECT("Gesamt!"&amp;F$1&amp;$A11)),"",INDIRECT("Gesamt!"&amp;F$1&amp;$A11))</f>
        <v>1</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34"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Gruppe: Mineralwasser 3</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68"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cm="1">
        <f t="array" aca="1" ref="D16" ca="1">IF(ISBLANK(INDIRECT("Gesamt!"&amp;D$1&amp;$A16)),"",INDIRECT("Gesamt!"&amp;D$1&amp;$A16))</f>
        <v>0.4</v>
      </c>
      <c r="E16" s="48" t="str" cm="1">
        <f t="array" aca="1" ref="E16" ca="1">IF(ISBLANK(INDIRECT("Gesamt!"&amp;E$1&amp;$A16)),"",INDIRECT("Gesamt!"&amp;E$1&amp;$A16))</f>
        <v>Es ist unklar wie die aufgeworfenen Fragen beantwortet werden sollen, da z.B. keine Informationen für Strecken außerhalb der Taxifahren vorliegen.</v>
      </c>
    </row>
    <row r="17" spans="1:5" ht="68"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cm="1">
        <f t="array" aca="1" ref="D17" ca="1">IF(ISBLANK(INDIRECT("Gesamt!"&amp;D$1&amp;$A17)),"",INDIRECT("Gesamt!"&amp;D$1&amp;$A17))</f>
        <v>0.3</v>
      </c>
      <c r="E17" s="163" t="str" cm="1">
        <f t="array" aca="1" ref="E17" ca="1">IF(ISBLANK(INDIRECT("Gesamt!"&amp;E$1&amp;$A17)),"",INDIRECT("Gesamt!"&amp;E$1&amp;$A17))</f>
        <v xml:space="preserve">Die einzelnen Bestandteile der Arbeit wirken zusammenhangslos, es ist unklar wo der Fokus der Arbeit liegt und welche Fragen mit welchen Methoden Daten und Zweck wie beantwortet werden. </v>
      </c>
    </row>
    <row r="18" spans="1:5" ht="120"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cm="1">
        <f t="array" aca="1" ref="D18" ca="1">IF(ISBLANK(INDIRECT("Gesamt!"&amp;D$1&amp;$A18)),"",INDIRECT("Gesamt!"&amp;D$1&amp;$A18))</f>
        <v>0.3</v>
      </c>
      <c r="E18" s="59" t="str" cm="1">
        <f t="array" aca="1" ref="E18" ca="1">IF(ISBLANK(INDIRECT("Gesamt!"&amp;E$1&amp;$A18)),"",INDIRECT("Gesamt!"&amp;E$1&amp;$A18))</f>
        <v>Dem Deckblatt fehlt das Datum der Abgabe (bzw. die Frist). Die Autoren nennen Datenquellen (Studienbuch?) nicht im Quellenverzeichnis. Das Inhaltsverzeichnis ist nicht ordentlich per Word generiert, die einzelnen Kapitel tragen Namen, die nicht erkennen lassen was dort faktisch untersucht werden soll. Der Unterschied zwischen deskriptiver und analytischer Statistik ist nicht erkennbar.</v>
      </c>
    </row>
    <row r="19" spans="1:5" ht="256"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1</v>
      </c>
      <c r="E19" s="48" t="str" cm="1">
        <f t="array" aca="1" ref="E19" ca="1">IF(ISBLANK(INDIRECT("Gesamt!"&amp;E$1&amp;$A19)),"",INDIRECT("Gesamt!"&amp;E$1&amp;$A19))</f>
        <v>Fokussieren Sie auf eine spezifische Frage und gestalten Sie die Frage nach Unterschieden zwischen möglichen Ausprägungen von Variablen weiter aus. Interessant ist die Frage ob die jeweiligen Fahrten länger oder kürzer dauern als von einem Routenplaner bestimmt um daraus abzuleiten, wann man besser vermeiden sollten mit dem Taxi zu fahren (Ineffizienz). Das Aufzeigen dieser Unterschiede und der benötigten Variablen kann gut Gegenstand der deskriptiven Statistik sein. Den Zusammenhang (von Unterschieden und den Variablen) ist ein spannender Ansatz für die analytische Statistik. Ergänzen Sie in jedem Fall ein Quellenverzeichnis, nutzen Sie ein Programm zur Literaturverwaltung (Citavi/Zotero/Mendeley/etc.). Sie sollten erwähnen mit welcher Software Sie arbeiten, wie Sie die Verwendung von R korrekt zitieren finden sie mit der R-Funktion 'citation()' heraus.</v>
      </c>
    </row>
    <row r="20" spans="1:5" ht="34"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Gruppe: Mineralwasser 3</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221"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cm="1">
        <f t="array" aca="1" ref="D23" ca="1">IF(ISBLANK(INDIRECT("Gesamt!"&amp;D$1&amp;$A23)),"",INDIRECT("Gesamt!"&amp;D$1&amp;$A23))</f>
        <v>1.5</v>
      </c>
      <c r="E23" s="48" t="str" cm="1">
        <f t="array" aca="1" ref="E23" ca="1">IF(ISBLANK(INDIRECT("Gesamt!"&amp;E$1&amp;$A23)),"",INDIRECT("Gesamt!"&amp;E$1&amp;$A23))</f>
        <v>Wenn Sie den höchsten Wert angeben, brauchen Sie nicht nochmal sagen das dieser das Maximum ist (S.6). Sie vergleichen augenscheinlich die Streuung einer Dauer in Minuten mit der Streuung einer in Sekunden (S.8) ob die Transformation auch bei der Streuung beachtet wird ist nicht ersichtlich, die Standardabweichungen sind ebenfalls ohne Einheiten. Wenn Sie eine neue Variable erstellen wollen, dann tun Sie das doch am Anfang und gebündelt und verwenden Sie dafür einen anderen sprechenden Namen und arbeiten konsequent mit diesen neuen und transformierten Variablen. Ihre Bereinigung um Datenfehler ist gut, hat allerdings in der Einleitung keinen Platz. Der Datensatz beinhaltet nicht XXX Daten zu jeder Variable, sondern der Datensatz beinhaltet nach der Bereinigung XXX Beobachtungen.</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cm="1">
        <f t="array" aca="1" ref="D24" ca="1">IF(ISBLANK(INDIRECT("Gesamt!"&amp;D$1&amp;$A24)),"",INDIRECT("Gesamt!"&amp;D$1&amp;$A24))</f>
        <v>0.5</v>
      </c>
      <c r="E24" s="166" t="str" cm="1">
        <f t="array" aca="1" ref="E24" ca="1">IF(ISBLANK(INDIRECT("Gesamt!"&amp;E$1&amp;$A24)),"",INDIRECT("Gesamt!"&amp;E$1&amp;$A24))</f>
        <v>Was ist der lineare Korrelationskoeffizient (S.7)? Was soll ein direkter Zusammenhang sein?</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cm="1">
        <f t="array" aca="1" ref="D25" ca="1">IF(ISBLANK(INDIRECT("Gesamt!"&amp;D$1&amp;$A25)),"",INDIRECT("Gesamt!"&amp;D$1&amp;$A25))</f>
        <v>0.5</v>
      </c>
      <c r="E25" s="166" t="str" cm="1">
        <f t="array" aca="1" ref="E25" ca="1">IF(ISBLANK(INDIRECT("Gesamt!"&amp;E$1&amp;$A25)),"",INDIRECT("Gesamt!"&amp;E$1&amp;$A25))</f>
        <v xml:space="preserve">Ginikoeffizient und Lorenzkurve sind nur berechnet, aber nicht interpretiert. Was trägt diese Betrachtung zum Gesamtziel der Arbeit bei? </v>
      </c>
    </row>
    <row r="26" spans="1:5" ht="136"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cm="1">
        <f t="array" aca="1" ref="D26" ca="1">IF(ISBLANK(INDIRECT("Gesamt!"&amp;D$1&amp;$A26)),"",INDIRECT("Gesamt!"&amp;D$1&amp;$A26))</f>
        <v>1.5</v>
      </c>
      <c r="E26" s="166" t="str" cm="1">
        <f t="array" aca="1" ref="E26" ca="1">IF(ISBLANK(INDIRECT("Gesamt!"&amp;E$1&amp;$A26)),"",INDIRECT("Gesamt!"&amp;E$1&amp;$A26))</f>
        <v>Ihre Dargestellten Diagramme haben Achsenbeschriftungen und Titel sind sprechend. Die Titel in Word (Caption) können Sie mit der Überschrift der Arbeit konsistent halten, z.B. Abb.1 sollte lauten "Abbildung 1: Verteilung der Fahrten auf Wochentage" (genauso wie Überschrift aus R). Die Beschreibung der Grafiken im Text kann präziser erfolgen, sodass die Grafik auch vom Leser verstanden werden kann (Thema, x-Achse, Y-Achse, Zentrum, Interpretation).</v>
      </c>
    </row>
    <row r="27" spans="1:5" ht="204"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cm="1">
        <f t="array" aca="1" ref="D27" ca="1">IF(ISBLANK(INDIRECT("Gesamt!"&amp;D$1&amp;$A27)),"",INDIRECT("Gesamt!"&amp;D$1&amp;$A27))</f>
        <v>0.5</v>
      </c>
      <c r="E27" s="166" t="str" cm="1">
        <f t="array" aca="1" ref="E27" ca="1">IF(ISBLANK(INDIRECT("Gesamt!"&amp;E$1&amp;$A27)),"",INDIRECT("Gesamt!"&amp;E$1&amp;$A27))</f>
        <v>Ihre Einleitung ist immer noch sehr generisch, Sie listen 5 verschiedene Punkte die Sie untersuchen wollen, aber nennen bei keinem entsprechende Gründe oder wieso das überhaupt relevant ist. Suchen Sie sich ein Ziel, zu dem zumindest ein Teil der aufgeworfenen Fragen passt. Analyse ist kein Selbstzweck, sondern muss ein inhaltliches Ziel verfolgen. abb.3 passt nicht zum Text (S.5). Welchen Beitrag Kapitel 7 leisten soll ist unklar, da das Kapitel fast keinen Inhalt hat und lediglich aus 3 nicht beschriebenen Abbildungen besteht. Ihre Arbeit wirkt als hätte jeder von Ihnen eine Teil geschrieben und analysiert, aber niemand die entsprechende Gesamtkomposition der Arbeit im Blick.</v>
      </c>
    </row>
    <row r="28" spans="1:5" ht="171"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cm="1">
        <f t="array" aca="1" ref="D28" ca="1">IF(ISBLANK(INDIRECT("Gesamt!"&amp;D$1&amp;$A28)),"",INDIRECT("Gesamt!"&amp;D$1&amp;$A28))</f>
        <v>1</v>
      </c>
      <c r="E28" s="59" t="str" cm="1">
        <f t="array" aca="1" ref="E28" ca="1">IF(ISBLANK(INDIRECT("Gesamt!"&amp;E$1&amp;$A28)),"",INDIRECT("Gesamt!"&amp;E$1&amp;$A28))</f>
        <v>Wir arbeiten mit 4 Nachkommastellen (NKS). Zahlreiche genannte Werte ignorieren diese Konvention (z.B. S.5). Die Verwendung von Dezimaltrennzeichen ist in der Arbeit nicht einheitlich (z.B. S.8). Ihr Literaturverzeichnis enthält bei der Angabe des R-Core Teams unnötige Klammern. Teile des Literaturverzeichnisses sind auf Englisch. Die Auswertung in R ist ordentlich, wenn möglich sollten Sie auf Konstrukte wie in Z.272 verzichten, da unklar ist woher die Zahlen kommen. Besser ist eine entsprechende Berechnung direkt in R ohne manuelle Schritte, sodass jede Interaktion mit den Daten vollständig nachvollziehbar bleibt.</v>
      </c>
    </row>
    <row r="29" spans="1:5" ht="409.6"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5.5</v>
      </c>
      <c r="E29" s="48" t="str" cm="1">
        <f t="array" aca="1" ref="E29" ca="1">IF(ISBLANK(INDIRECT("Gesamt!"&amp;E$1&amp;$A29)),"",INDIRECT("Gesamt!"&amp;E$1&amp;$A29))</f>
        <v>Verzichten sie auf die Beschreibung von Variablen die Sie nicht benutzen (z.B. S.4). Wissenschaftliche Arbeiten schreibt man im Präsens. Verzichten Sei auf Beschreibungen wie man etwas berechnet, jeder Leser einer wissenschaftlichen Arbeit weiß wie man z.B. ein arithmetisches Mittel berechnet. Sie beschreiben das jedoch mehrfach in der Arbeit, was diese künstlich in die Länge zieht und  Textpassagen langweilig macht. Interpretieren sie stattdessen die Werte. Legen Sie einen Verantwortlichen fest, der die Endabgabe prüft und die Verantwortung für die finale Einreichung übernimmt und so sicherstellt, dass die Aussagen zusammen passen. Stellen Sie die Werte für die deskriptive Statistik ordentlich und gesammelt in einer Tabelle da. Stellen Sie den Datensatz gebündelt am Anfang der Arbeit vor und nicht Stück für Stück für jede Frage. Man merkt, dass Sie versuchen sich elaboriert auszudrücken, was den Text unnötig in die Länge zieht. Beispiel S.8: "Zunächst wurde untersucht, wie häufig die tatsächliche Dauer der Fahrt länger war als die vom Routenplaner berechnete. Dies war 9571 Mal der Fall. Nur in 3,8% der Fälle war die tatsächliche Zeit geringer als die berechnete." (Tempus falsch, NKS stimmen nicht, Text unnötig verkompliziert) --&gt; Nicht perfekt, aber Besser (Sie können mittlere Unterschreitung oder Überschreitung z.B. noch direkt ergänzen): "Die gemessene Dauer der Fahrten überschreitet die von der OSRM (Abkürzung vorher Einführen und QUELLE) berechnete Zeit in 9581 von XXXX Fällen. Lediglich in 3,8XX% der Fälle wurde die Planzeit unterschritten." Fast allen genannten Zahlen fehlen Einheiten. Sie interpretieren die Zeiten in Kap.6 als seien diese verallgemeinerbar, dabei führen Sie gar keinen Hypothesentest durch. Unterscheiden Sich diese überhaupt in der Grundgesamtheit? Woran machen sie fest, dass eine U-Bahnfahrt langsamer ist? Die von U-Bahnen zurückgelegte Strecken sind doch ganz andere. Führen Sie Variablen und deren Bedeutung zu Beginn der Abriet (mit der Deskriptiven Statistik) ein. Die Beschreibung der Werte auf S.8 (Mitte) ist einem Leser nicht zumutbar. Nutzen Sie entsprechendes Fachvokabular (osrm_duration ist kein Datensatz (S.8) sondern eine Variable eines Datensatzes).</v>
      </c>
    </row>
    <row r="30" spans="1:5" ht="34"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Gruppe: Mineralwasser 3</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cm="1">
        <f t="array" aca="1" ref="D33" ca="1">IF(ISBLANK(INDIRECT("Gesamt!"&amp;D$1&amp;$A33)),"",INDIRECT("Gesamt!"&amp;D$1&amp;$A33))</f>
        <v>2</v>
      </c>
      <c r="E33" s="48" t="str" cm="1">
        <f t="array" aca="1" ref="E33" ca="1">IF(ISBLANK(INDIRECT("Gesamt!"&amp;E$1&amp;$A33)),"",INDIRECT("Gesamt!"&amp;E$1&amp;$A33))</f>
        <v>Die Autoren behaupten die maximale Passagiernazahl im Datensatz beträgt 8, listen in Abb.4 aber eldiglich 6. In der Folge ist z.B. die Spannweite (vermutlich) nicht korrekt berechnet worden.</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cm="1">
        <f t="array" aca="1" ref="D34" ca="1">IF(ISBLANK(INDIRECT("Gesamt!"&amp;D$1&amp;$A34)),"",INDIRECT("Gesamt!"&amp;D$1&amp;$A34))</f>
        <v>3.5</v>
      </c>
      <c r="E34" s="166" t="str" cm="1">
        <f t="array" aca="1" ref="E34" ca="1">IF(ISBLANK(INDIRECT("Gesamt!"&amp;E$1&amp;$A34)),"",INDIRECT("Gesamt!"&amp;E$1&amp;$A34))</f>
        <v>Chi-Quadrat-Test: OK</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cm="1">
        <f t="array" aca="1" ref="D35" ca="1">IF(ISBLANK(INDIRECT("Gesamt!"&amp;D$1&amp;$A35)),"",INDIRECT("Gesamt!"&amp;D$1&amp;$A35))</f>
        <v>2</v>
      </c>
      <c r="E35" s="166" t="str" cm="1">
        <f t="array" aca="1" ref="E35" ca="1">IF(ISBLANK(INDIRECT("Gesamt!"&amp;E$1&amp;$A35)),"",INDIRECT("Gesamt!"&amp;E$1&amp;$A35))</f>
        <v>Regression: Wieso die Autoren nur eine univariate Analyse nutzen, obwohl unmittelbar vor der Regressionsanalyse eine Abhängigkeit nachgewiesen wurde ist unklar. Die ermittelten Koeffizienten werden nicht intrepretiert.</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cm="1">
        <f t="array" aca="1" ref="D36" ca="1">IF(ISBLANK(INDIRECT("Gesamt!"&amp;D$1&amp;$A36)),"",INDIRECT("Gesamt!"&amp;D$1&amp;$A36))</f>
        <v>1.5</v>
      </c>
      <c r="E36" s="166" t="str" cm="1">
        <f t="array" aca="1" ref="E36" ca="1">IF(ISBLANK(INDIRECT("Gesamt!"&amp;E$1&amp;$A36)),"",INDIRECT("Gesamt!"&amp;E$1&amp;$A36))</f>
        <v>Die tatsächlich gefahrene Strecke (S.4) ist nicht im Datensatz enthalten. Die Argumentation im Hauptteil der Arbeit ist nachvollziehbar.</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cm="1">
        <f t="array" aca="1" ref="D37" ca="1">IF(ISBLANK(INDIRECT("Gesamt!"&amp;D$1&amp;$A37)),"",INDIRECT("Gesamt!"&amp;D$1&amp;$A37))</f>
        <v>1.5</v>
      </c>
      <c r="E37" s="166" t="str" cm="1">
        <f t="array" aca="1" ref="E37" ca="1">IF(ISBLANK(INDIRECT("Gesamt!"&amp;E$1&amp;$A37)),"",INDIRECT("Gesamt!"&amp;E$1&amp;$A37))</f>
        <v>Eine Stärkere Verknüpfung der empirie mit der Fragestellung ist wünschenswert und eine kritische Würdigung des Analyseansatzes fehlt.</v>
      </c>
    </row>
    <row r="38" spans="1:5" ht="51"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cm="1">
        <f t="array" aca="1" ref="D38" ca="1">IF(ISBLANK(INDIRECT("Gesamt!"&amp;D$1&amp;$A38)),"",INDIRECT("Gesamt!"&amp;D$1&amp;$A38))</f>
        <v>0.75</v>
      </c>
      <c r="E38" s="166" t="str" cm="1">
        <f t="array" aca="1" ref="E38" ca="1">IF(ISBLANK(INDIRECT("Gesamt!"&amp;E$1&amp;$A38)),"",INDIRECT("Gesamt!"&amp;E$1&amp;$A38))</f>
        <v>Screenshots, fehlender Formelmodus, Grafiken ohne Einheiten.</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cm="1">
        <f t="array" aca="1" ref="D39" ca="1">IF(ISBLANK(INDIRECT("Gesamt!"&amp;D$1&amp;$A39)),"",INDIRECT("Gesamt!"&amp;D$1&amp;$A39))</f>
        <v>1</v>
      </c>
      <c r="E39" s="59" t="str" cm="1">
        <f t="array" aca="1" ref="E39" ca="1">IF(ISBLANK(INDIRECT("Gesamt!"&amp;E$1&amp;$A39)),"",INDIRECT("Gesamt!"&amp;E$1&amp;$A39))</f>
        <v>Nachvollziehbarer Programmcode</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12.25</v>
      </c>
      <c r="E40" s="48" t="str" cm="1">
        <f t="array" aca="1" ref="E40" ca="1">IF(ISBLANK(INDIRECT("Gesamt!"&amp;E$1&amp;$A40)),"",INDIRECT("Gesamt!"&amp;E$1&amp;$A40))</f>
        <v/>
      </c>
    </row>
    <row r="41" spans="1:5" ht="34"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Gruppe: Mineralwasser 3</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1</v>
      </c>
      <c r="E42" s="48" t="str" cm="1">
        <f t="array" aca="1" ref="E42" ca="1">IF(ISBLANK(INDIRECT("Gesamt!"&amp;E$1&amp;$A42)),"",INDIRECT("Gesamt!"&amp;E$1&amp;$A42))</f>
        <v>(50,0 %)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5.5</v>
      </c>
      <c r="E43" s="48" t="str" cm="1">
        <f t="array" aca="1" ref="E43" ca="1">IF(ISBLANK(INDIRECT("Gesamt!"&amp;E$1&amp;$A43)),"",INDIRECT("Gesamt!"&amp;E$1&amp;$A43))</f>
        <v>(68,8 %)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12.25</v>
      </c>
      <c r="E44" s="59" t="str" cm="1">
        <f t="array" aca="1" ref="E44" ca="1">IF(ISBLANK(INDIRECT("Gesamt!"&amp;E$1&amp;$A44)),"",INDIRECT("Gesamt!"&amp;E$1&amp;$A44))</f>
        <v>(81,7 %)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18.75</v>
      </c>
      <c r="E45" s="55" t="str" cm="1">
        <f t="array" aca="1" ref="E45" ca="1">IF(ISBLANK(INDIRECT("Gesamt!"&amp;E$1&amp;$A45)),"",INDIRECT("Gesamt!"&amp;E$1&amp;$A45))</f>
        <v>(75,0 %)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19</v>
      </c>
      <c r="E46" s="55" t="str" cm="1">
        <f t="array" aca="1" ref="E46" ca="1">IF(ISBLANK(INDIRECT("Gesamt!"&amp;E$1&amp;$A46)),"",INDIRECT("Gesamt!"&amp;E$1&amp;$A46))</f>
        <v>(76,0 %)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cm="1">
        <f t="array" aca="1" ref="D47" ca="1">IF(ISBLANK(INDIRECT("Gesamt!"&amp;D$1&amp;$A47)),"",INDIRECT("Gesamt!"&amp;D$1&amp;$A47))</f>
        <v>1</v>
      </c>
      <c r="E47" s="62" t="str" cm="1">
        <f t="array" aca="1" ref="E47" ca="1">IF(ISBLANK(INDIRECT("Gesamt!"&amp;E$1&amp;$A47)),"",INDIRECT("Gesamt!"&amp;E$1&amp;$A47))</f>
        <v>( A )</v>
      </c>
    </row>
  </sheetData>
  <mergeCells count="2">
    <mergeCell ref="B2:E2"/>
    <mergeCell ref="B3:E3"/>
  </mergeCells>
  <conditionalFormatting sqref="E7">
    <cfRule type="expression" dxfId="23" priority="7">
      <formula>F7=FALSE</formula>
    </cfRule>
  </conditionalFormatting>
  <conditionalFormatting sqref="D7">
    <cfRule type="expression" dxfId="22" priority="1">
      <formula>F7=FALSE</formula>
    </cfRule>
  </conditionalFormatting>
  <conditionalFormatting sqref="E8">
    <cfRule type="expression" dxfId="21" priority="8">
      <formula>F8=FALSE</formula>
    </cfRule>
  </conditionalFormatting>
  <conditionalFormatting sqref="D8">
    <cfRule type="expression" dxfId="20" priority="2">
      <formula>F8=FALSE</formula>
    </cfRule>
  </conditionalFormatting>
  <conditionalFormatting sqref="D9">
    <cfRule type="expression" dxfId="19" priority="3">
      <formula>F9=FALSE</formula>
    </cfRule>
  </conditionalFormatting>
  <conditionalFormatting sqref="D10">
    <cfRule type="expression" dxfId="18" priority="4">
      <formula>F10=FALSE</formula>
    </cfRule>
  </conditionalFormatting>
  <conditionalFormatting sqref="D11">
    <cfRule type="expression" dxfId="17" priority="5">
      <formula>F11=FALSE</formula>
    </cfRule>
  </conditionalFormatting>
  <conditionalFormatting sqref="D12">
    <cfRule type="expression" dxfId="16" priority="6">
      <formula>F12=FALSE</formula>
    </cfRule>
  </conditionalFormatting>
  <conditionalFormatting sqref="E9">
    <cfRule type="expression" dxfId="15" priority="9">
      <formula>F9=FALSE</formula>
    </cfRule>
  </conditionalFormatting>
  <conditionalFormatting sqref="E10">
    <cfRule type="expression" dxfId="14" priority="10">
      <formula>F10=FALSE</formula>
    </cfRule>
  </conditionalFormatting>
  <conditionalFormatting sqref="E11">
    <cfRule type="expression" dxfId="13" priority="11">
      <formula>F11=FALSE</formula>
    </cfRule>
  </conditionalFormatting>
  <conditionalFormatting sqref="E12">
    <cfRule type="expression" dxfId="12"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B5C0E-E6B2-5542-B9EB-B0717E73AD5A}">
  <sheetPr codeName="Tabelle15">
    <pageSetUpPr fitToPage="1"/>
  </sheetPr>
  <dimension ref="A1:G47"/>
  <sheetViews>
    <sheetView workbookViewId="0">
      <selection activeCell="C1" sqref="B1:E1048576"/>
    </sheetView>
  </sheetViews>
  <sheetFormatPr baseColWidth="10" defaultRowHeight="16" x14ac:dyDescent="0.2"/>
  <cols>
    <col min="2" max="2" width="47.83203125" customWidth="1"/>
    <col min="4" max="4" width="20" bestFit="1" customWidth="1"/>
    <col min="5" max="5" width="57.5" customWidth="1"/>
  </cols>
  <sheetData>
    <row r="1" spans="1:7" x14ac:dyDescent="0.2">
      <c r="A1" s="77" t="s">
        <v>317</v>
      </c>
      <c r="B1" t="s">
        <v>152</v>
      </c>
      <c r="C1" t="s">
        <v>151</v>
      </c>
      <c r="D1" s="16" t="str">
        <f>SUBSTITUTE(ADDRESS(1,A2,4),"1","")</f>
        <v>AE</v>
      </c>
      <c r="E1" s="16" t="str">
        <f>SUBSTITUTE(ADDRESS(1,A2+1,4),"1","")</f>
        <v>AF</v>
      </c>
      <c r="F1" s="16" t="str">
        <f>SUBSTITUTE(ADDRESS(1,A2+2,4),"1","")</f>
        <v>AG</v>
      </c>
    </row>
    <row r="2" spans="1:7" ht="31" x14ac:dyDescent="0.35">
      <c r="A2" s="167">
        <v>31</v>
      </c>
      <c r="B2" s="194" t="str" cm="1">
        <f t="array" aca="1" ref="B2" ca="1">"Feedback - Gruppe: "&amp;IF(ISBLANK(INDIRECT("Gesamt!"&amp;E$1&amp;$A5)),"",INDIRECT("Gesamt!"&amp;E$1&amp;$A5))</f>
        <v xml:space="preserve">Feedback - Gruppe: </v>
      </c>
      <c r="C2" s="195"/>
      <c r="D2" s="195"/>
      <c r="E2" s="196"/>
    </row>
    <row r="3" spans="1:7" x14ac:dyDescent="0.2">
      <c r="A3" t="str">
        <f ca="1">TEXT(TODAY(),"JJJJMMTT")</f>
        <v>20210810</v>
      </c>
      <c r="B3" s="197">
        <f ca="1">TODAY()</f>
        <v>44418</v>
      </c>
      <c r="C3" s="198"/>
      <c r="D3" s="198"/>
      <c r="E3" s="199"/>
    </row>
    <row r="4" spans="1:7" ht="17" x14ac:dyDescent="0.2">
      <c r="A4">
        <v>1</v>
      </c>
      <c r="B4" s="56" t="s">
        <v>14</v>
      </c>
      <c r="C4" s="70"/>
      <c r="D4" s="69"/>
      <c r="E4" s="57" t="str" cm="1">
        <f t="array" aca="1" ref="E4" ca="1">IF(ISBLANK(INDIRECT("Gesamt!"&amp;E$1&amp;$A4)),"",INDIRECT("Gesamt!"&amp;E$1&amp;$A4))</f>
        <v/>
      </c>
    </row>
    <row r="5" spans="1:7" ht="17" x14ac:dyDescent="0.2">
      <c r="A5">
        <v>2</v>
      </c>
      <c r="B5" s="64" t="str" cm="1">
        <f t="array" aca="1" ref="B5" ca="1">IF(ISBLANK(INDIRECT("Gesamt!"&amp;B$1&amp;$A5)),"",INDIRECT("Gesamt!"&amp;B$1&amp;$A5))</f>
        <v>Korrektor</v>
      </c>
      <c r="C5" s="53" t="str" cm="1">
        <f t="array" aca="1" ref="C5" ca="1">IF(ISBLANK(INDIRECT("Gesamt!"&amp;C$1&amp;$A5)),"",INDIRECT("Gesamt!"&amp;C$1&amp;$A5))</f>
        <v/>
      </c>
      <c r="D5" s="55" t="str" cm="1">
        <f t="array" aca="1" ref="D5" ca="1">IF(ISBLANK(INDIRECT("Gesamt!"&amp;D$1&amp;$A5)),"",INDIRECT("Gesamt!"&amp;D$1&amp;$A5))</f>
        <v>Gruppe</v>
      </c>
      <c r="E5" s="48" t="str" cm="1">
        <f t="array" aca="1" ref="E5" ca="1">IF(ISBLANK(INDIRECT("Gesamt!"&amp;E$1&amp;$A5)),"",INDIRECT("Gesamt!"&amp;E$1&amp;$A5))</f>
        <v/>
      </c>
    </row>
    <row r="6" spans="1:7" ht="17" x14ac:dyDescent="0.2">
      <c r="A6">
        <v>3</v>
      </c>
      <c r="B6" s="63" t="str" cm="1">
        <f t="array" aca="1" ref="B6" ca="1">IF(ISBLANK(INDIRECT("Gesamt!"&amp;B$1&amp;$A6)),"",INDIRECT("Gesamt!"&amp;B$1&amp;$A6))</f>
        <v>Prof. Dr. Benjamin Buchwitz</v>
      </c>
      <c r="C6" s="53" t="str" cm="1">
        <f t="array" aca="1" ref="C6" ca="1">IF(ISBLANK(INDIRECT("Gesamt!"&amp;C$1&amp;$A6)),"",INDIRECT("Gesamt!"&amp;C$1&amp;$A6))</f>
        <v/>
      </c>
      <c r="D6" s="55" t="str" cm="1">
        <f t="array" aca="1" ref="D6" ca="1">IF(ISBLANK(INDIRECT("Gesamt!"&amp;D$1&amp;$A6)),"",INDIRECT("Gesamt!"&amp;D$1&amp;$A6))</f>
        <v>Matrikelnr.</v>
      </c>
      <c r="E6" s="55" t="str" cm="1">
        <f t="array" aca="1" ref="E6" ca="1">IF(ISBLANK(INDIRECT("Gesamt!"&amp;E$1&amp;$A6)),"",INDIRECT("Gesamt!"&amp;E$1&amp;$A6))</f>
        <v>Name</v>
      </c>
      <c r="F6" s="159" t="s">
        <v>294</v>
      </c>
    </row>
    <row r="7" spans="1:7" ht="17" x14ac:dyDescent="0.2">
      <c r="A7">
        <v>4</v>
      </c>
      <c r="B7" s="64" t="str" cm="1">
        <f t="array" aca="1" ref="B7" ca="1">IF(ISBLANK(INDIRECT("Gesamt!"&amp;B$1&amp;$A7)),"",INDIRECT("Gesamt!"&amp;B$1&amp;$A7))</f>
        <v>Kontaktmöglichkeit</v>
      </c>
      <c r="C7" s="53" t="str" cm="1">
        <f t="array" aca="1" ref="C7" ca="1">IF(ISBLANK(INDIRECT("Gesamt!"&amp;C$1&amp;$A7)),"",INDIRECT("Gesamt!"&amp;C$1&amp;$A7))</f>
        <v/>
      </c>
      <c r="D7" s="48" t="str" cm="1">
        <f t="array" aca="1" ref="D7" ca="1">IF(ISBLANK(INDIRECT("Gesamt!"&amp;D$1&amp;$A7)),"",INDIRECT("Gesamt!"&amp;D$1&amp;$A7))</f>
        <v/>
      </c>
      <c r="E7" s="48" t="str" cm="1">
        <f t="array" aca="1" ref="E7" ca="1">IF(ISBLANK(INDIRECT("Gesamt!"&amp;E$1&amp;$A7)),"",INDIRECT("Gesamt!"&amp;E$1&amp;$A7))</f>
        <v/>
      </c>
      <c r="F7" s="160" t="str" cm="1">
        <f t="array" aca="1" ref="F7" ca="1">IF(ISBLANK(INDIRECT("Gesamt!"&amp;F$1&amp;$A7)),"",INDIRECT("Gesamt!"&amp;F$1&amp;$A7))</f>
        <v xml:space="preserve"> </v>
      </c>
      <c r="G7" s="108"/>
    </row>
    <row r="8" spans="1:7" ht="17" x14ac:dyDescent="0.2">
      <c r="A8">
        <v>5</v>
      </c>
      <c r="B8" s="63" t="str" cm="1">
        <f t="array" aca="1" ref="B8" ca="1">IF(ISBLANK(INDIRECT("Gesamt!"&amp;B$1&amp;$A8)),"",INDIRECT("Gesamt!"&amp;B$1&amp;$A8))</f>
        <v>buchwitz.benjamin@fh-swf.de</v>
      </c>
      <c r="C8" s="53" t="str" cm="1">
        <f t="array" aca="1" ref="C8" ca="1">IF(ISBLANK(INDIRECT("Gesamt!"&amp;C$1&amp;$A8)),"",INDIRECT("Gesamt!"&amp;C$1&amp;$A8))</f>
        <v/>
      </c>
      <c r="D8" s="48" t="str" cm="1">
        <f t="array" aca="1" ref="D8" ca="1">IF(ISBLANK(INDIRECT("Gesamt!"&amp;D$1&amp;$A8)),"",INDIRECT("Gesamt!"&amp;D$1&amp;$A8))</f>
        <v/>
      </c>
      <c r="E8" s="48" t="str" cm="1">
        <f t="array" aca="1" ref="E8" ca="1">IF(ISBLANK(INDIRECT("Gesamt!"&amp;E$1&amp;$A8)),"",INDIRECT("Gesamt!"&amp;E$1&amp;$A8))</f>
        <v/>
      </c>
      <c r="F8" s="160" t="str" cm="1">
        <f t="array" aca="1" ref="F8" ca="1">IF(ISBLANK(INDIRECT("Gesamt!"&amp;F$1&amp;$A8)),"",INDIRECT("Gesamt!"&amp;F$1&amp;$A8))</f>
        <v xml:space="preserve"> </v>
      </c>
      <c r="G8" s="108"/>
    </row>
    <row r="9" spans="1:7" ht="17" x14ac:dyDescent="0.2">
      <c r="A9">
        <v>6</v>
      </c>
      <c r="B9" s="63" t="str" cm="1">
        <f t="array" aca="1" ref="B9" ca="1">IF(ISBLANK(INDIRECT("Gesamt!"&amp;B$1&amp;$A9)),"",INDIRECT("Gesamt!"&amp;B$1&amp;$A9))</f>
        <v/>
      </c>
      <c r="C9" s="53" t="str" cm="1">
        <f t="array" aca="1" ref="C9" ca="1">IF(ISBLANK(INDIRECT("Gesamt!"&amp;C$1&amp;$A9)),"",INDIRECT("Gesamt!"&amp;C$1&amp;$A9))</f>
        <v/>
      </c>
      <c r="D9" s="48" t="str" cm="1">
        <f t="array" aca="1" ref="D9" ca="1">IF(ISBLANK(INDIRECT("Gesamt!"&amp;D$1&amp;$A9)),"",INDIRECT("Gesamt!"&amp;D$1&amp;$A9))</f>
        <v/>
      </c>
      <c r="E9" s="48" t="str" cm="1">
        <f t="array" aca="1" ref="E9" ca="1">IF(ISBLANK(INDIRECT("Gesamt!"&amp;E$1&amp;$A9)),"",INDIRECT("Gesamt!"&amp;E$1&amp;$A9))</f>
        <v/>
      </c>
      <c r="F9" s="160" t="str" cm="1">
        <f t="array" aca="1" ref="F9" ca="1">IF(ISBLANK(INDIRECT("Gesamt!"&amp;F$1&amp;$A9)),"",INDIRECT("Gesamt!"&amp;F$1&amp;$A9))</f>
        <v xml:space="preserve"> </v>
      </c>
      <c r="G9" s="108"/>
    </row>
    <row r="10" spans="1:7" ht="17" x14ac:dyDescent="0.2">
      <c r="A10">
        <v>7</v>
      </c>
      <c r="B10" s="64" t="s">
        <v>315</v>
      </c>
      <c r="C10" s="53" t="str" cm="1">
        <f t="array" aca="1" ref="C10" ca="1">IF(ISBLANK(INDIRECT("Gesamt!"&amp;C$1&amp;$A10)),"",INDIRECT("Gesamt!"&amp;C$1&amp;$A10))</f>
        <v/>
      </c>
      <c r="D10" s="48" t="str" cm="1">
        <f t="array" aca="1" ref="D10" ca="1">IF(ISBLANK(INDIRECT("Gesamt!"&amp;D$1&amp;$A10)),"",INDIRECT("Gesamt!"&amp;D$1&amp;$A10))</f>
        <v/>
      </c>
      <c r="E10" s="48" t="str" cm="1">
        <f t="array" aca="1" ref="E10" ca="1">IF(ISBLANK(INDIRECT("Gesamt!"&amp;E$1&amp;$A10)),"",INDIRECT("Gesamt!"&amp;E$1&amp;$A10))</f>
        <v/>
      </c>
      <c r="F10" s="160" t="str" cm="1">
        <f t="array" aca="1" ref="F10" ca="1">IF(ISBLANK(INDIRECT("Gesamt!"&amp;F$1&amp;$A10)),"",INDIRECT("Gesamt!"&amp;F$1&amp;$A10))</f>
        <v xml:space="preserve"> </v>
      </c>
      <c r="G10" s="108"/>
    </row>
    <row r="11" spans="1:7" ht="17" x14ac:dyDescent="0.2">
      <c r="A11">
        <v>8</v>
      </c>
      <c r="B11" s="63" t="str">
        <f ca="1">E7 &amp; " (Gruppensprecher)"</f>
        <v xml:space="preserve"> (Gruppensprecher)</v>
      </c>
      <c r="C11" s="53" t="str" cm="1">
        <f t="array" aca="1" ref="C11" ca="1">IF(ISBLANK(INDIRECT("Gesamt!"&amp;C$1&amp;$A11)),"",INDIRECT("Gesamt!"&amp;C$1&amp;$A11))</f>
        <v/>
      </c>
      <c r="D11" s="48" t="str" cm="1">
        <f t="array" aca="1" ref="D11" ca="1">IF(ISBLANK(INDIRECT("Gesamt!"&amp;D$1&amp;$A11)),"",INDIRECT("Gesamt!"&amp;D$1&amp;$A11))</f>
        <v/>
      </c>
      <c r="E11" s="48" t="str" cm="1">
        <f t="array" aca="1" ref="E11" ca="1">IF(ISBLANK(INDIRECT("Gesamt!"&amp;E$1&amp;$A11)),"",INDIRECT("Gesamt!"&amp;E$1&amp;$A11))</f>
        <v/>
      </c>
      <c r="F11" s="160" t="str" cm="1">
        <f t="array" aca="1" ref="F11" ca="1">IF(ISBLANK(INDIRECT("Gesamt!"&amp;F$1&amp;$A11)),"",INDIRECT("Gesamt!"&amp;F$1&amp;$A11))</f>
        <v xml:space="preserve"> </v>
      </c>
      <c r="G11" s="108"/>
    </row>
    <row r="12" spans="1:7" ht="17" x14ac:dyDescent="0.2">
      <c r="A12">
        <v>9</v>
      </c>
      <c r="B12" s="63" t="str" cm="1">
        <f t="array" aca="1" ref="B12" ca="1">IF(ISBLANK(INDIRECT("Gesamt!"&amp;B$1&amp;$A12)),"",INDIRECT("Gesamt!"&amp;B$1&amp;$A12))</f>
        <v/>
      </c>
      <c r="C12" s="53" t="str" cm="1">
        <f t="array" aca="1" ref="C12" ca="1">IF(ISBLANK(INDIRECT("Gesamt!"&amp;C$1&amp;$A12)),"",INDIRECT("Gesamt!"&amp;C$1&amp;$A12))</f>
        <v/>
      </c>
      <c r="D12" s="48" t="str" cm="1">
        <f t="array" aca="1" ref="D12" ca="1">IF(ISBLANK(INDIRECT("Gesamt!"&amp;D$1&amp;$A12)),"",INDIRECT("Gesamt!"&amp;D$1&amp;$A12))</f>
        <v/>
      </c>
      <c r="E12" s="48" t="str" cm="1">
        <f t="array" aca="1" ref="E12" ca="1">IF(ISBLANK(INDIRECT("Gesamt!"&amp;E$1&amp;$A12)),"",INDIRECT("Gesamt!"&amp;E$1&amp;$A12))</f>
        <v/>
      </c>
      <c r="F12" s="160" t="str" cm="1">
        <f t="array" aca="1" ref="F12" ca="1">IF(ISBLANK(INDIRECT("Gesamt!"&amp;F$1&amp;$A12)),"",INDIRECT("Gesamt!"&amp;F$1&amp;$A12))</f>
        <v xml:space="preserve"> </v>
      </c>
      <c r="G12" s="108"/>
    </row>
    <row r="13" spans="1:7" ht="17" x14ac:dyDescent="0.2">
      <c r="A13">
        <v>10</v>
      </c>
      <c r="B13" s="65" t="str" cm="1">
        <f t="array" aca="1" ref="B13" ca="1">IF(ISBLANK(INDIRECT("Gesamt!"&amp;B$1&amp;$A13)),"",INDIRECT("Gesamt!"&amp;B$1&amp;$A13))</f>
        <v>Exposé</v>
      </c>
      <c r="C13" s="54" t="str" cm="1">
        <f t="array" aca="1" ref="C13" ca="1">IF(ISBLANK(INDIRECT("Gesamt!"&amp;C$1&amp;$A13)),"",INDIRECT("Gesamt!"&amp;C$1&amp;$A13))</f>
        <v/>
      </c>
      <c r="D13" s="75" t="str" cm="1">
        <f t="array" aca="1" ref="D13" ca="1">IF(ISBLANK(INDIRECT("Gesamt!"&amp;D$1&amp;$A13)),"",INDIRECT("Gesamt!"&amp;D$1&amp;$A13))</f>
        <v xml:space="preserve">Gruppe: </v>
      </c>
      <c r="E13" s="52" t="str" cm="1">
        <f t="array" aca="1" ref="E13" ca="1">IF(ISBLANK(INDIRECT("Gesamt!"&amp;E$1&amp;$A13)),"",INDIRECT("Gesamt!"&amp;E$1&amp;$A13))</f>
        <v/>
      </c>
    </row>
    <row r="14" spans="1:7" ht="34" x14ac:dyDescent="0.2">
      <c r="A14">
        <v>11</v>
      </c>
      <c r="B14" s="63" t="str" cm="1">
        <f t="array" aca="1" ref="B14" ca="1">IF(ISBLANK(INDIRECT("Gesamt!"&amp;B$1&amp;$A14)),"",INDIRECT("Gesamt!"&amp;B$1&amp;$A14))</f>
        <v>Ziel des Exposés:</v>
      </c>
      <c r="C14" s="53"/>
      <c r="D14" s="53"/>
      <c r="E14" s="61" t="str" cm="1">
        <f t="array" aca="1" ref="E14" ca="1">IF(ISBLANK(INDIRECT("Gesamt!"&amp;"B"&amp;$A14)),"",INDIRECT("Gesamt!"&amp;"B"&amp;$A14))</f>
        <v>Einarbeitung in den Sachkontext und Genese einer zum Datensatz passenden Forschungsfrage</v>
      </c>
    </row>
    <row r="15" spans="1:7" ht="17" x14ac:dyDescent="0.2">
      <c r="A15">
        <v>12</v>
      </c>
      <c r="B15" s="66" t="str" cm="1">
        <f t="array" aca="1" ref="B15" ca="1">IF(ISBLANK(INDIRECT("Gesamt!"&amp;B$1&amp;$A15)),"",INDIRECT("Gesamt!"&amp;B$1&amp;$A15))</f>
        <v/>
      </c>
      <c r="C15" s="76" t="str" cm="1">
        <f t="array" aca="1" ref="C15" ca="1">IF(ISBLANK(INDIRECT("Gesamt!"&amp;C$1&amp;$A15)),"",INDIRECT("Gesamt!"&amp;C$1&amp;$A15))</f>
        <v>Punkte</v>
      </c>
      <c r="D15" s="76" t="str" cm="1">
        <f t="array" aca="1" ref="D15" ca="1">IF(ISBLANK(INDIRECT("Gesamt!"&amp;D$1&amp;$A15)),"",INDIRECT("Gesamt!"&amp;D$1&amp;$A15))</f>
        <v>Bewertung</v>
      </c>
      <c r="E15" s="58" t="str" cm="1">
        <f t="array" aca="1" ref="E15" ca="1">IF(ISBLANK(INDIRECT("Gesamt!"&amp;E$1&amp;$A15)),"",INDIRECT("Gesamt!"&amp;E$1&amp;$A15))</f>
        <v>Kommentar</v>
      </c>
    </row>
    <row r="16" spans="1:7" ht="68" x14ac:dyDescent="0.2">
      <c r="A16">
        <v>13</v>
      </c>
      <c r="B16" s="63" t="str" cm="1">
        <f t="array" aca="1" ref="B16" ca="1">IF(ISBLANK(INDIRECT("Gesamt!"&amp;B$1&amp;$A16)),"",INDIRECT("Gesamt!"&amp;B$1&amp;$A16))</f>
        <v>Forschungsgegenstand
- Zielausgestaltung (0,2P)
- Fragestellung (0,4P)
- Hypothesen (0,4P)</v>
      </c>
      <c r="C16" s="71" cm="1">
        <f t="array" aca="1" ref="C16" ca="1">IF(ISBLANK(INDIRECT("Gesamt!"&amp;C$1&amp;$A16)),"",INDIRECT("Gesamt!"&amp;C$1&amp;$A16))</f>
        <v>1</v>
      </c>
      <c r="D16" s="71" t="str" cm="1">
        <f t="array" aca="1" ref="D16" ca="1">IF(ISBLANK(INDIRECT("Gesamt!"&amp;D$1&amp;$A16)),"",INDIRECT("Gesamt!"&amp;D$1&amp;$A16))</f>
        <v/>
      </c>
      <c r="E16" s="48" t="str" cm="1">
        <f t="array" aca="1" ref="E16" ca="1">IF(ISBLANK(INDIRECT("Gesamt!"&amp;E$1&amp;$A16)),"",INDIRECT("Gesamt!"&amp;E$1&amp;$A16))</f>
        <v/>
      </c>
    </row>
    <row r="17" spans="1:5" ht="68" x14ac:dyDescent="0.2">
      <c r="A17">
        <v>14</v>
      </c>
      <c r="B17" s="161" t="str" cm="1">
        <f t="array" aca="1" ref="B17" ca="1">IF(ISBLANK(INDIRECT("Gesamt!"&amp;B$1&amp;$A17)),"",INDIRECT("Gesamt!"&amp;B$1&amp;$A17))</f>
        <v>Komposition
- Inhaltlicher Zusammenhang (0,2P)
- Vorgehensweise (0,2P)
- Motivation des Themas (0,1P)</v>
      </c>
      <c r="C17" s="162" cm="1">
        <f t="array" aca="1" ref="C17" ca="1">IF(ISBLANK(INDIRECT("Gesamt!"&amp;C$1&amp;$A17)),"",INDIRECT("Gesamt!"&amp;C$1&amp;$A17))</f>
        <v>0.5</v>
      </c>
      <c r="D17" s="162" t="str" cm="1">
        <f t="array" aca="1" ref="D17" ca="1">IF(ISBLANK(INDIRECT("Gesamt!"&amp;D$1&amp;$A17)),"",INDIRECT("Gesamt!"&amp;D$1&amp;$A17))</f>
        <v/>
      </c>
      <c r="E17" s="163" t="str" cm="1">
        <f t="array" aca="1" ref="E17" ca="1">IF(ISBLANK(INDIRECT("Gesamt!"&amp;E$1&amp;$A17)),"",INDIRECT("Gesamt!"&amp;E$1&amp;$A17))</f>
        <v/>
      </c>
    </row>
    <row r="18" spans="1:5" ht="69" thickBot="1" x14ac:dyDescent="0.25">
      <c r="A18">
        <v>15</v>
      </c>
      <c r="B18" s="67" t="str" cm="1">
        <f t="array" aca="1" ref="B18" ca="1">IF(ISBLANK(INDIRECT("Gesamt!"&amp;B$1&amp;$A18)),"",INDIRECT("Gesamt!"&amp;B$1&amp;$A18))</f>
        <v>Formalia (Exposé)
- Deckblatt (0,2P)
- Formatierung (0,2P)
- Schreibstil &amp; Rechtschreibung (0,1P)</v>
      </c>
      <c r="C18" s="72" cm="1">
        <f t="array" aca="1" ref="C18" ca="1">IF(ISBLANK(INDIRECT("Gesamt!"&amp;C$1&amp;$A18)),"",INDIRECT("Gesamt!"&amp;C$1&amp;$A18))</f>
        <v>0.5</v>
      </c>
      <c r="D18" s="72" t="str" cm="1">
        <f t="array" aca="1" ref="D18" ca="1">IF(ISBLANK(INDIRECT("Gesamt!"&amp;D$1&amp;$A18)),"",INDIRECT("Gesamt!"&amp;D$1&amp;$A18))</f>
        <v/>
      </c>
      <c r="E18" s="59" t="str" cm="1">
        <f t="array" aca="1" ref="E18" ca="1">IF(ISBLANK(INDIRECT("Gesamt!"&amp;E$1&amp;$A18)),"",INDIRECT("Gesamt!"&amp;E$1&amp;$A18))</f>
        <v/>
      </c>
    </row>
    <row r="19" spans="1:5" ht="18" thickTop="1" x14ac:dyDescent="0.2">
      <c r="A19">
        <v>16</v>
      </c>
      <c r="B19" s="64" t="str" cm="1">
        <f t="array" aca="1" ref="B19" ca="1">IF(ISBLANK(INDIRECT("Gesamt!"&amp;B$1&amp;$A19)),"",INDIRECT("Gesamt!"&amp;B$1&amp;$A19))</f>
        <v>Zwischensumme Exposé</v>
      </c>
      <c r="C19" s="71" cm="1">
        <f t="array" aca="1" ref="C19" ca="1">IF(ISBLANK(INDIRECT("Gesamt!"&amp;C$1&amp;$A19)),"",INDIRECT("Gesamt!"&amp;C$1&amp;$A19))</f>
        <v>2</v>
      </c>
      <c r="D19" s="71" cm="1">
        <f t="array" aca="1" ref="D19" ca="1">IF(ISBLANK(INDIRECT("Gesamt!"&amp;D$1&amp;$A19)),"",INDIRECT("Gesamt!"&amp;D$1&amp;$A19))</f>
        <v>0</v>
      </c>
      <c r="E19" s="48" t="str" cm="1">
        <f t="array" aca="1" ref="E19" ca="1">IF(ISBLANK(INDIRECT("Gesamt!"&amp;E$1&amp;$A19)),"",INDIRECT("Gesamt!"&amp;E$1&amp;$A19))</f>
        <v/>
      </c>
    </row>
    <row r="20" spans="1:5" ht="17" x14ac:dyDescent="0.2">
      <c r="A20">
        <v>17</v>
      </c>
      <c r="B20" s="65" t="str" cm="1">
        <f t="array" aca="1" ref="B20" ca="1">IF(ISBLANK(INDIRECT("Gesamt!"&amp;B$1&amp;$A20)),"",INDIRECT("Gesamt!"&amp;B$1&amp;$A20))</f>
        <v>Zwischenabgabe</v>
      </c>
      <c r="C20" s="54" t="str" cm="1">
        <f t="array" aca="1" ref="C20" ca="1">IF(ISBLANK(INDIRECT("Gesamt!"&amp;C$1&amp;$A20)),"",INDIRECT("Gesamt!"&amp;C$1&amp;$A20))</f>
        <v/>
      </c>
      <c r="D20" s="54" t="str" cm="1">
        <f t="array" aca="1" ref="D20" ca="1">IF(ISBLANK(INDIRECT("Gesamt!"&amp;D$1&amp;$A20)),"",INDIRECT("Gesamt!"&amp;D$1&amp;$A20))</f>
        <v xml:space="preserve">Gruppe: </v>
      </c>
      <c r="E20" s="52" t="str" cm="1">
        <f t="array" aca="1" ref="E20" ca="1">IF(ISBLANK(INDIRECT("Gesamt!"&amp;E$1&amp;$A20)),"",INDIRECT("Gesamt!"&amp;E$1&amp;$A20))</f>
        <v/>
      </c>
    </row>
    <row r="21" spans="1:5" ht="34" x14ac:dyDescent="0.2">
      <c r="A21">
        <v>18</v>
      </c>
      <c r="B21" s="63" t="str" cm="1">
        <f t="array" aca="1" ref="B21" ca="1">IF(ISBLANK(INDIRECT("Gesamt!"&amp;B$1&amp;$A21)),"",INDIRECT("Gesamt!"&amp;B$1&amp;$A21))</f>
        <v>Ziel der Zwischenabgabe:</v>
      </c>
      <c r="C21" s="53"/>
      <c r="D21" s="53"/>
      <c r="E21" s="61" t="str" cm="1">
        <f t="array" aca="1" ref="E21" ca="1">IF(ISBLANK(INDIRECT("Gesamt!"&amp;"B"&amp;$A21)),"",INDIRECT("Gesamt!"&amp;"B"&amp;$A21))</f>
        <v>Vorstellung des Datensatzes und Vorbereitung der inferenzstatistischen Analyseverfahren</v>
      </c>
    </row>
    <row r="22" spans="1:5" ht="17" x14ac:dyDescent="0.2">
      <c r="A22">
        <v>19</v>
      </c>
      <c r="B22" s="66" t="str" cm="1">
        <f t="array" aca="1" ref="B22" ca="1">IF(ISBLANK(INDIRECT("Gesamt!"&amp;B$1&amp;$A22)),"",INDIRECT("Gesamt!"&amp;B$1&amp;$A22))</f>
        <v/>
      </c>
      <c r="C22" s="76" t="str" cm="1">
        <f t="array" aca="1" ref="C22" ca="1">IF(ISBLANK(INDIRECT("Gesamt!"&amp;C$1&amp;$A22)),"",INDIRECT("Gesamt!"&amp;C$1&amp;$A22))</f>
        <v>Punkte</v>
      </c>
      <c r="D22" s="76" t="str" cm="1">
        <f t="array" aca="1" ref="D22" ca="1">IF(ISBLANK(INDIRECT("Gesamt!"&amp;D$1&amp;$A22)),"",INDIRECT("Gesamt!"&amp;D$1&amp;$A22))</f>
        <v>Bewertung</v>
      </c>
      <c r="E22" s="58" t="str" cm="1">
        <f t="array" aca="1" ref="E22" ca="1">IF(ISBLANK(INDIRECT("Gesamt!"&amp;E$1&amp;$A22)),"",INDIRECT("Gesamt!"&amp;E$1&amp;$A22))</f>
        <v>Kommentar</v>
      </c>
    </row>
    <row r="23" spans="1:5" ht="68" x14ac:dyDescent="0.2">
      <c r="A23">
        <v>20</v>
      </c>
      <c r="B23" s="63" t="str" cm="1">
        <f t="array" aca="1" ref="B23" ca="1">IF(ISBLANK(INDIRECT("Gesamt!"&amp;B$1&amp;$A23)),"",INDIRECT("Gesamt!"&amp;B$1&amp;$A23))</f>
        <v>Lage- &amp; Streuungsmaße
- Deskriptive Statistik für alle verwendeten Variablen
- Berechnung, Interpretation und Einordnung in den Sachkontext</v>
      </c>
      <c r="C23" s="71" cm="1">
        <f t="array" aca="1" ref="C23" ca="1">IF(ISBLANK(INDIRECT("Gesamt!"&amp;C$1&amp;$A23)),"",INDIRECT("Gesamt!"&amp;C$1&amp;$A23))</f>
        <v>2</v>
      </c>
      <c r="D23" s="71" t="str" cm="1">
        <f t="array" aca="1" ref="D23" ca="1">IF(ISBLANK(INDIRECT("Gesamt!"&amp;D$1&amp;$A23)),"",INDIRECT("Gesamt!"&amp;D$1&amp;$A23))</f>
        <v/>
      </c>
      <c r="E23" s="48" t="str" cm="1">
        <f t="array" aca="1" ref="E23" ca="1">IF(ISBLANK(INDIRECT("Gesamt!"&amp;E$1&amp;$A23)),"",INDIRECT("Gesamt!"&amp;E$1&amp;$A23))</f>
        <v/>
      </c>
    </row>
    <row r="24" spans="1:5" ht="51" x14ac:dyDescent="0.2">
      <c r="A24">
        <v>21</v>
      </c>
      <c r="B24" s="164" t="str" cm="1">
        <f t="array" aca="1" ref="B24" ca="1">IF(ISBLANK(INDIRECT("Gesamt!"&amp;B$1&amp;$A24)),"",INDIRECT("Gesamt!"&amp;B$1&amp;$A24))</f>
        <v>Zusammenhangsmaße
- Berechnung, Interpretation und Einordnung in den Sachkontext von (min.) einem Zusammenhangsmaß</v>
      </c>
      <c r="C24" s="165" cm="1">
        <f t="array" aca="1" ref="C24" ca="1">IF(ISBLANK(INDIRECT("Gesamt!"&amp;C$1&amp;$A24)),"",INDIRECT("Gesamt!"&amp;C$1&amp;$A24))</f>
        <v>1</v>
      </c>
      <c r="D24" s="165" t="str" cm="1">
        <f t="array" aca="1" ref="D24" ca="1">IF(ISBLANK(INDIRECT("Gesamt!"&amp;D$1&amp;$A24)),"",INDIRECT("Gesamt!"&amp;D$1&amp;$A24))</f>
        <v/>
      </c>
      <c r="E24" s="166" t="str" cm="1">
        <f t="array" aca="1" ref="E24" ca="1">IF(ISBLANK(INDIRECT("Gesamt!"&amp;E$1&amp;$A24)),"",INDIRECT("Gesamt!"&amp;E$1&amp;$A24))</f>
        <v/>
      </c>
    </row>
    <row r="25" spans="1:5" ht="68" x14ac:dyDescent="0.2">
      <c r="A25">
        <v>22</v>
      </c>
      <c r="B25" s="164" t="str" cm="1">
        <f t="array" aca="1" ref="B25" ca="1">IF(ISBLANK(INDIRECT("Gesamt!"&amp;B$1&amp;$A25)),"",INDIRECT("Gesamt!"&amp;B$1&amp;$A25))</f>
        <v>Ergänzende Berechnung
- Ergänzende Berechnung, Interpretation und Einordnung in den Sachkontext (min.) eines weiteren Zusammenhangsmaßes oder Konzentrationsmaßes</v>
      </c>
      <c r="C25" s="165" cm="1">
        <f t="array" aca="1" ref="C25" ca="1">IF(ISBLANK(INDIRECT("Gesamt!"&amp;C$1&amp;$A25)),"",INDIRECT("Gesamt!"&amp;C$1&amp;$A25))</f>
        <v>1</v>
      </c>
      <c r="D25" s="165" t="str" cm="1">
        <f t="array" aca="1" ref="D25" ca="1">IF(ISBLANK(INDIRECT("Gesamt!"&amp;D$1&amp;$A25)),"",INDIRECT("Gesamt!"&amp;D$1&amp;$A25))</f>
        <v/>
      </c>
      <c r="E25" s="166" t="str" cm="1">
        <f t="array" aca="1" ref="E25" ca="1">IF(ISBLANK(INDIRECT("Gesamt!"&amp;E$1&amp;$A25)),"",INDIRECT("Gesamt!"&amp;E$1&amp;$A25))</f>
        <v/>
      </c>
    </row>
    <row r="26" spans="1:5" ht="85" x14ac:dyDescent="0.2">
      <c r="A26">
        <v>23</v>
      </c>
      <c r="B26" s="164" t="str" cm="1">
        <f t="array" aca="1" ref="B26" ca="1">IF(ISBLANK(INDIRECT("Gesamt!"&amp;B$1&amp;$A26)),"",INDIRECT("Gesamt!"&amp;B$1&amp;$A26))</f>
        <v>Diagramme
- Sinnvoll unterstützender / ergänzender Einsatz einer grafischen Aufbereitung der Daten (0,5P)
- Ergänzende Darstellung eines weiteren, andersartigen Diagrammes (0,5P)</v>
      </c>
      <c r="C26" s="165" cm="1">
        <f t="array" aca="1" ref="C26" ca="1">IF(ISBLANK(INDIRECT("Gesamt!"&amp;C$1&amp;$A26)),"",INDIRECT("Gesamt!"&amp;C$1&amp;$A26))</f>
        <v>1</v>
      </c>
      <c r="D26" s="165" t="str" cm="1">
        <f t="array" aca="1" ref="D26" ca="1">IF(ISBLANK(INDIRECT("Gesamt!"&amp;D$1&amp;$A26)),"",INDIRECT("Gesamt!"&amp;D$1&amp;$A26))</f>
        <v/>
      </c>
      <c r="E26" s="166" t="str" cm="1">
        <f t="array" aca="1" ref="E26" ca="1">IF(ISBLANK(INDIRECT("Gesamt!"&amp;E$1&amp;$A26)),"",INDIRECT("Gesamt!"&amp;E$1&amp;$A26))</f>
        <v/>
      </c>
    </row>
    <row r="27" spans="1:5" ht="51" x14ac:dyDescent="0.2">
      <c r="A27">
        <v>24</v>
      </c>
      <c r="B27" s="164" t="str" cm="1">
        <f t="array" aca="1" ref="B27" ca="1">IF(ISBLANK(INDIRECT("Gesamt!"&amp;B$1&amp;$A27)),"",INDIRECT("Gesamt!"&amp;B$1&amp;$A27))</f>
        <v>Komposition
- Zweckmäßiger Methodeneinsatz (1P)
- Zielgerichtete Argumentation (1P)</v>
      </c>
      <c r="C27" s="165" cm="1">
        <f t="array" aca="1" ref="C27" ca="1">IF(ISBLANK(INDIRECT("Gesamt!"&amp;C$1&amp;$A27)),"",INDIRECT("Gesamt!"&amp;C$1&amp;$A27))</f>
        <v>2</v>
      </c>
      <c r="D27" s="165" t="str" cm="1">
        <f t="array" aca="1" ref="D27" ca="1">IF(ISBLANK(INDIRECT("Gesamt!"&amp;D$1&amp;$A27)),"",INDIRECT("Gesamt!"&amp;D$1&amp;$A27))</f>
        <v/>
      </c>
      <c r="E27" s="166" t="str" cm="1">
        <f t="array" aca="1" ref="E27" ca="1">IF(ISBLANK(INDIRECT("Gesamt!"&amp;E$1&amp;$A27)),"",INDIRECT("Gesamt!"&amp;E$1&amp;$A27))</f>
        <v/>
      </c>
    </row>
    <row r="28" spans="1:5" ht="120" thickBot="1" x14ac:dyDescent="0.25">
      <c r="A28">
        <v>25</v>
      </c>
      <c r="B28" s="67" t="str" cm="1">
        <f t="array" aca="1" ref="B28" ca="1">IF(ISBLANK(INDIRECT("Gesamt!"&amp;B$1&amp;$A28)),"",INDIRECT("Gesamt!"&amp;B$1&amp;$A28))</f>
        <v>Formalia (Zwischenabgabe)
- Analytische Ausarbeitung (0,5P)
    + Übersichtlichkeit
    + Nachvollziehbarkeit aller Rechnungen
- Schriftliche Ausarbeitung (0,5P)
    + Formatierung des Dokuments
    + Zitation wissenschaftlicher Quellen</v>
      </c>
      <c r="C28" s="72" cm="1">
        <f t="array" aca="1" ref="C28" ca="1">IF(ISBLANK(INDIRECT("Gesamt!"&amp;C$1&amp;$A28)),"",INDIRECT("Gesamt!"&amp;C$1&amp;$A28))</f>
        <v>1</v>
      </c>
      <c r="D28" s="72" t="str" cm="1">
        <f t="array" aca="1" ref="D28" ca="1">IF(ISBLANK(INDIRECT("Gesamt!"&amp;D$1&amp;$A28)),"",INDIRECT("Gesamt!"&amp;D$1&amp;$A28))</f>
        <v/>
      </c>
      <c r="E28" s="59" t="str" cm="1">
        <f t="array" aca="1" ref="E28" ca="1">IF(ISBLANK(INDIRECT("Gesamt!"&amp;E$1&amp;$A28)),"",INDIRECT("Gesamt!"&amp;E$1&amp;$A28))</f>
        <v/>
      </c>
    </row>
    <row r="29" spans="1:5" ht="18" thickTop="1" x14ac:dyDescent="0.2">
      <c r="A29">
        <v>26</v>
      </c>
      <c r="B29" s="64" t="str" cm="1">
        <f t="array" aca="1" ref="B29" ca="1">IF(ISBLANK(INDIRECT("Gesamt!"&amp;B$1&amp;$A29)),"",INDIRECT("Gesamt!"&amp;B$1&amp;$A29))</f>
        <v>Zwischensumme Zwischenabgabe</v>
      </c>
      <c r="C29" s="71" cm="1">
        <f t="array" aca="1" ref="C29" ca="1">IF(ISBLANK(INDIRECT("Gesamt!"&amp;C$1&amp;$A29)),"",INDIRECT("Gesamt!"&amp;C$1&amp;$A29))</f>
        <v>8</v>
      </c>
      <c r="D29" s="71" cm="1">
        <f t="array" aca="1" ref="D29" ca="1">IF(ISBLANK(INDIRECT("Gesamt!"&amp;D$1&amp;$A29)),"",INDIRECT("Gesamt!"&amp;D$1&amp;$A29))</f>
        <v>0</v>
      </c>
      <c r="E29" s="48" t="str" cm="1">
        <f t="array" aca="1" ref="E29" ca="1">IF(ISBLANK(INDIRECT("Gesamt!"&amp;E$1&amp;$A29)),"",INDIRECT("Gesamt!"&amp;E$1&amp;$A29))</f>
        <v/>
      </c>
    </row>
    <row r="30" spans="1:5" ht="17" x14ac:dyDescent="0.2">
      <c r="A30">
        <v>27</v>
      </c>
      <c r="B30" s="65" t="str" cm="1">
        <f t="array" aca="1" ref="B30" ca="1">IF(ISBLANK(INDIRECT("Gesamt!"&amp;B$1&amp;$A30)),"",INDIRECT("Gesamt!"&amp;B$1&amp;$A30))</f>
        <v>Endabgabe</v>
      </c>
      <c r="C30" s="54" t="str" cm="1">
        <f t="array" aca="1" ref="C30" ca="1">IF(ISBLANK(INDIRECT("Gesamt!"&amp;C$1&amp;$A30)),"",INDIRECT("Gesamt!"&amp;C$1&amp;$A30))</f>
        <v/>
      </c>
      <c r="D30" s="54" t="str" cm="1">
        <f t="array" aca="1" ref="D30" ca="1">IF(ISBLANK(INDIRECT("Gesamt!"&amp;D$1&amp;$A30)),"",INDIRECT("Gesamt!"&amp;D$1&amp;$A30))</f>
        <v xml:space="preserve">Gruppe: </v>
      </c>
      <c r="E30" s="52" t="str" cm="1">
        <f t="array" aca="1" ref="E30" ca="1">IF(ISBLANK(INDIRECT("Gesamt!"&amp;E$1&amp;$A30)),"",INDIRECT("Gesamt!"&amp;E$1&amp;$A30))</f>
        <v/>
      </c>
    </row>
    <row r="31" spans="1:5" ht="34" x14ac:dyDescent="0.2">
      <c r="A31">
        <v>28</v>
      </c>
      <c r="B31" s="63" t="str" cm="1">
        <f t="array" aca="1" ref="B31" ca="1">IF(ISBLANK(INDIRECT("Gesamt!"&amp;B$1&amp;$A31)),"",INDIRECT("Gesamt!"&amp;B$1&amp;$A31))</f>
        <v>Ziel der Endabgabe:</v>
      </c>
      <c r="C31" s="53"/>
      <c r="D31" s="53"/>
      <c r="E31" s="61" t="str" cm="1">
        <f t="array" aca="1" ref="E31" ca="1">IF(ISBLANK(INDIRECT("Gesamt!"&amp;"B"&amp;$A31)),"",INDIRECT("Gesamt!"&amp;"B"&amp;$A31))</f>
        <v>Beantwortung der Forschungsfrage unter Nutzung inferenzstatistischer Verfahren und Finalisierung der Arbeit</v>
      </c>
    </row>
    <row r="32" spans="1:5" ht="17" x14ac:dyDescent="0.2">
      <c r="A32">
        <v>29</v>
      </c>
      <c r="B32" s="66" t="str" cm="1">
        <f t="array" aca="1" ref="B32" ca="1">IF(ISBLANK(INDIRECT("Gesamt!"&amp;B$1&amp;$A32)),"",INDIRECT("Gesamt!"&amp;B$1&amp;$A32))</f>
        <v/>
      </c>
      <c r="C32" s="76" t="str" cm="1">
        <f t="array" aca="1" ref="C32" ca="1">IF(ISBLANK(INDIRECT("Gesamt!"&amp;C$1&amp;$A32)),"",INDIRECT("Gesamt!"&amp;C$1&amp;$A32))</f>
        <v>Punkte</v>
      </c>
      <c r="D32" s="76" t="str" cm="1">
        <f t="array" aca="1" ref="D32" ca="1">IF(ISBLANK(INDIRECT("Gesamt!"&amp;D$1&amp;$A32)),"",INDIRECT("Gesamt!"&amp;D$1&amp;$A32))</f>
        <v>Bewertung</v>
      </c>
      <c r="E32" s="58" t="str" cm="1">
        <f t="array" aca="1" ref="E32" ca="1">IF(ISBLANK(INDIRECT("Gesamt!"&amp;E$1&amp;$A32)),"",INDIRECT("Gesamt!"&amp;E$1&amp;$A32))</f>
        <v>Kommentar</v>
      </c>
    </row>
    <row r="33" spans="1:5" ht="119" x14ac:dyDescent="0.2">
      <c r="A33">
        <v>30</v>
      </c>
      <c r="B33" s="63" t="str" cm="1">
        <f t="array" aca="1" ref="B33" ca="1">IF(ISBLANK(INDIRECT("Gesamt!"&amp;B$1&amp;$A33)),"",INDIRECT("Gesamt!"&amp;B$1&amp;$A33))</f>
        <v>Verbesserung der Deskriptiven Statistik hinsichtlich Korrektheit, Vollständigkeit, Beschreibung und Einordnung in den Sachkontext
- Lagemaße (0,5P)
- Streuungsmaße (0,5P)
- Ergänzende Maße (0,5P)
- Zusammenhangsmaße (0,5P)</v>
      </c>
      <c r="C33" s="71" cm="1">
        <f t="array" aca="1" ref="C33" ca="1">IF(ISBLANK(INDIRECT("Gesamt!"&amp;C$1&amp;$A33)),"",INDIRECT("Gesamt!"&amp;C$1&amp;$A33))</f>
        <v>2</v>
      </c>
      <c r="D33" s="71" t="str" cm="1">
        <f t="array" aca="1" ref="D33" ca="1">IF(ISBLANK(INDIRECT("Gesamt!"&amp;D$1&amp;$A33)),"",INDIRECT("Gesamt!"&amp;D$1&amp;$A33))</f>
        <v/>
      </c>
      <c r="E33" s="48" t="str" cm="1">
        <f t="array" aca="1" ref="E33" ca="1">IF(ISBLANK(INDIRECT("Gesamt!"&amp;E$1&amp;$A33)),"",INDIRECT("Gesamt!"&amp;E$1&amp;$A33))</f>
        <v/>
      </c>
    </row>
    <row r="34" spans="1:5" ht="119" x14ac:dyDescent="0.2">
      <c r="A34">
        <v>31</v>
      </c>
      <c r="B34" s="164" t="str" cm="1">
        <f t="array" aca="1" ref="B34" ca="1">IF(ISBLANK(INDIRECT("Gesamt!"&amp;B$1&amp;$A34)),"",INDIRECT("Gesamt!"&amp;B$1&amp;$A34))</f>
        <v>Inferenzstatistik: Freie Methodenwahl
- Inhaltlich begründete Methodenauswahl (1P)
- Voraussetzungen erfüllt (0,5P)
- Fehlerfreie Berechnungen (0,5P)
- Korrekte Testanwendung (0,5P)
- Statistische Interpretation und Einordnung in Sachkontext (1P)</v>
      </c>
      <c r="C34" s="165" cm="1">
        <f t="array" aca="1" ref="C34" ca="1">IF(ISBLANK(INDIRECT("Gesamt!"&amp;C$1&amp;$A34)),"",INDIRECT("Gesamt!"&amp;C$1&amp;$A34))</f>
        <v>3.5</v>
      </c>
      <c r="D34" s="165" t="str" cm="1">
        <f t="array" aca="1" ref="D34" ca="1">IF(ISBLANK(INDIRECT("Gesamt!"&amp;D$1&amp;$A34)),"",INDIRECT("Gesamt!"&amp;D$1&amp;$A34))</f>
        <v/>
      </c>
      <c r="E34" s="166" t="str" cm="1">
        <f t="array" aca="1" ref="E34" ca="1">IF(ISBLANK(INDIRECT("Gesamt!"&amp;E$1&amp;$A34)),"",INDIRECT("Gesamt!"&amp;E$1&amp;$A34))</f>
        <v/>
      </c>
    </row>
    <row r="35" spans="1:5" ht="119" x14ac:dyDescent="0.2">
      <c r="A35">
        <v>32</v>
      </c>
      <c r="B35" s="164" t="str" cm="1">
        <f t="array" aca="1" ref="B35" ca="1">IF(ISBLANK(INDIRECT("Gesamt!"&amp;B$1&amp;$A35)),"",INDIRECT("Gesamt!"&amp;B$1&amp;$A35))</f>
        <v>Inferenzstatistik: Zusammenhangsanalyse
- Variablen- und Methodenauswahl kongruent (1P)
- Voraussetzungen erfüllt (0,5P)
- Fehlerfreie Berechnungen (0,5P)
- Korrekte Testanwendung (0,5P)
- Statistische Interpretation und Einordnung in Sachkontext (1P)</v>
      </c>
      <c r="C35" s="165" cm="1">
        <f t="array" aca="1" ref="C35" ca="1">IF(ISBLANK(INDIRECT("Gesamt!"&amp;C$1&amp;$A35)),"",INDIRECT("Gesamt!"&amp;C$1&amp;$A35))</f>
        <v>3.5</v>
      </c>
      <c r="D35" s="165" t="str" cm="1">
        <f t="array" aca="1" ref="D35" ca="1">IF(ISBLANK(INDIRECT("Gesamt!"&amp;D$1&amp;$A35)),"",INDIRECT("Gesamt!"&amp;D$1&amp;$A35))</f>
        <v/>
      </c>
      <c r="E35" s="166" t="str" cm="1">
        <f t="array" aca="1" ref="E35" ca="1">IF(ISBLANK(INDIRECT("Gesamt!"&amp;E$1&amp;$A35)),"",INDIRECT("Gesamt!"&amp;E$1&amp;$A35))</f>
        <v/>
      </c>
    </row>
    <row r="36" spans="1:5" ht="102" x14ac:dyDescent="0.2">
      <c r="A36">
        <v>33</v>
      </c>
      <c r="B36" s="164" t="str" cm="1">
        <f t="array" aca="1" ref="B36" ca="1">IF(ISBLANK(INDIRECT("Gesamt!"&amp;B$1&amp;$A36)),"",INDIRECT("Gesamt!"&amp;B$1&amp;$A36))</f>
        <v>Argumentationsfluss &amp; Gesamteindruck
- Inhaltlicher Aufbau
- Verknüpfung der Fragestellung mit der Anwendung der inhaltlichen Methoden
- Verknüpfung deskriptiver und analytischer Statistik
- Keine rezeptartige Beschreibung von Rechenwegen</v>
      </c>
      <c r="C36" s="165" cm="1">
        <f t="array" aca="1" ref="C36" ca="1">IF(ISBLANK(INDIRECT("Gesamt!"&amp;C$1&amp;$A36)),"",INDIRECT("Gesamt!"&amp;C$1&amp;$A36))</f>
        <v>2</v>
      </c>
      <c r="D36" s="165" t="str" cm="1">
        <f t="array" aca="1" ref="D36" ca="1">IF(ISBLANK(INDIRECT("Gesamt!"&amp;D$1&amp;$A36)),"",INDIRECT("Gesamt!"&amp;D$1&amp;$A36))</f>
        <v/>
      </c>
      <c r="E36" s="166" t="str" cm="1">
        <f t="array" aca="1" ref="E36" ca="1">IF(ISBLANK(INDIRECT("Gesamt!"&amp;E$1&amp;$A36)),"",INDIRECT("Gesamt!"&amp;E$1&amp;$A36))</f>
        <v/>
      </c>
    </row>
    <row r="37" spans="1:5" ht="68" x14ac:dyDescent="0.2">
      <c r="A37">
        <v>34</v>
      </c>
      <c r="B37" s="164" t="str" cm="1">
        <f t="array" aca="1" ref="B37" ca="1">IF(ISBLANK(INDIRECT("Gesamt!"&amp;B$1&amp;$A37)),"",INDIRECT("Gesamt!"&amp;B$1&amp;$A37))</f>
        <v>Zielerreichung
- Antwort auf die gestellte Forschungsfrage
- Zusammenfassung der Ergebnisse
- Kritische Würdigung des eigenen Vorgehens</v>
      </c>
      <c r="C37" s="165" cm="1">
        <f t="array" aca="1" ref="C37" ca="1">IF(ISBLANK(INDIRECT("Gesamt!"&amp;C$1&amp;$A37)),"",INDIRECT("Gesamt!"&amp;C$1&amp;$A37))</f>
        <v>2</v>
      </c>
      <c r="D37" s="165" t="str" cm="1">
        <f t="array" aca="1" ref="D37" ca="1">IF(ISBLANK(INDIRECT("Gesamt!"&amp;D$1&amp;$A37)),"",INDIRECT("Gesamt!"&amp;D$1&amp;$A37))</f>
        <v/>
      </c>
      <c r="E37" s="166" t="str" cm="1">
        <f t="array" aca="1" ref="E37" ca="1">IF(ISBLANK(INDIRECT("Gesamt!"&amp;E$1&amp;$A37)),"",INDIRECT("Gesamt!"&amp;E$1&amp;$A37))</f>
        <v/>
      </c>
    </row>
    <row r="38" spans="1:5" ht="51" x14ac:dyDescent="0.2">
      <c r="A38">
        <v>35</v>
      </c>
      <c r="B38" s="164" t="str" cm="1">
        <f t="array" aca="1" ref="B38" ca="1">IF(ISBLANK(INDIRECT("Gesamt!"&amp;B$1&amp;$A38)),"",INDIRECT("Gesamt!"&amp;B$1&amp;$A38))</f>
        <v>Formalia (Endabgabe)
- Angemessene wissenschaftliche Gestaltung des finalen Dokumentes (Text, Grafiken, etc.)</v>
      </c>
      <c r="C38" s="165" cm="1">
        <f t="array" aca="1" ref="C38" ca="1">IF(ISBLANK(INDIRECT("Gesamt!"&amp;C$1&amp;$A38)),"",INDIRECT("Gesamt!"&amp;C$1&amp;$A38))</f>
        <v>1</v>
      </c>
      <c r="D38" s="165" t="str" cm="1">
        <f t="array" aca="1" ref="D38" ca="1">IF(ISBLANK(INDIRECT("Gesamt!"&amp;D$1&amp;$A38)),"",INDIRECT("Gesamt!"&amp;D$1&amp;$A38))</f>
        <v/>
      </c>
      <c r="E38" s="166" t="str" cm="1">
        <f t="array" aca="1" ref="E38" ca="1">IF(ISBLANK(INDIRECT("Gesamt!"&amp;E$1&amp;$A38)),"",INDIRECT("Gesamt!"&amp;E$1&amp;$A38))</f>
        <v/>
      </c>
    </row>
    <row r="39" spans="1:5" ht="69" thickBot="1" x14ac:dyDescent="0.25">
      <c r="A39">
        <v>36</v>
      </c>
      <c r="B39" s="67" t="str" cm="1">
        <f t="array" aca="1" ref="B39" ca="1">IF(ISBLANK(INDIRECT("Gesamt!"&amp;B$1&amp;$A39)),"",INDIRECT("Gesamt!"&amp;B$1&amp;$A39))</f>
        <v>Analytische Qualität
- Übersichtlichkeit der Analyse (R oder Excel)
- Nachvollziehbarkeit aller Rechnungen
- Vollständigkeit</v>
      </c>
      <c r="C39" s="72" cm="1">
        <f t="array" aca="1" ref="C39" ca="1">IF(ISBLANK(INDIRECT("Gesamt!"&amp;C$1&amp;$A39)),"",INDIRECT("Gesamt!"&amp;C$1&amp;$A39))</f>
        <v>1</v>
      </c>
      <c r="D39" s="72" t="str" cm="1">
        <f t="array" aca="1" ref="D39" ca="1">IF(ISBLANK(INDIRECT("Gesamt!"&amp;D$1&amp;$A39)),"",INDIRECT("Gesamt!"&amp;D$1&amp;$A39))</f>
        <v/>
      </c>
      <c r="E39" s="59" t="str" cm="1">
        <f t="array" aca="1" ref="E39" ca="1">IF(ISBLANK(INDIRECT("Gesamt!"&amp;E$1&amp;$A39)),"",INDIRECT("Gesamt!"&amp;E$1&amp;$A39))</f>
        <v/>
      </c>
    </row>
    <row r="40" spans="1:5" ht="18" thickTop="1" x14ac:dyDescent="0.2">
      <c r="A40">
        <v>37</v>
      </c>
      <c r="B40" s="64" t="str" cm="1">
        <f t="array" aca="1" ref="B40" ca="1">IF(ISBLANK(INDIRECT("Gesamt!"&amp;B$1&amp;$A40)),"",INDIRECT("Gesamt!"&amp;B$1&amp;$A40))</f>
        <v>Zwischensumme Endabgabe</v>
      </c>
      <c r="C40" s="71" cm="1">
        <f t="array" aca="1" ref="C40" ca="1">IF(ISBLANK(INDIRECT("Gesamt!"&amp;C$1&amp;$A40)),"",INDIRECT("Gesamt!"&amp;C$1&amp;$A40))</f>
        <v>15</v>
      </c>
      <c r="D40" s="71" cm="1">
        <f t="array" aca="1" ref="D40" ca="1">IF(ISBLANK(INDIRECT("Gesamt!"&amp;D$1&amp;$A40)),"",INDIRECT("Gesamt!"&amp;D$1&amp;$A40))</f>
        <v>0</v>
      </c>
      <c r="E40" s="48" t="str" cm="1">
        <f t="array" aca="1" ref="E40" ca="1">IF(ISBLANK(INDIRECT("Gesamt!"&amp;E$1&amp;$A40)),"",INDIRECT("Gesamt!"&amp;E$1&amp;$A40))</f>
        <v/>
      </c>
    </row>
    <row r="41" spans="1:5" ht="17" x14ac:dyDescent="0.2">
      <c r="A41">
        <v>38</v>
      </c>
      <c r="B41" s="65" t="str" cm="1">
        <f t="array" aca="1" ref="B41" ca="1">IF(ISBLANK(INDIRECT("Gesamt!"&amp;B$1&amp;$A41)),"",INDIRECT("Gesamt!"&amp;B$1&amp;$A41))</f>
        <v>Abschließende Bewertung</v>
      </c>
      <c r="C41" s="54" t="str" cm="1">
        <f t="array" aca="1" ref="C41" ca="1">IF(ISBLANK(INDIRECT("Gesamt!"&amp;C$1&amp;$A41)),"",INDIRECT("Gesamt!"&amp;C$1&amp;$A41))</f>
        <v/>
      </c>
      <c r="D41" s="54" t="str" cm="1">
        <f t="array" aca="1" ref="D41" ca="1">IF(ISBLANK(INDIRECT("Gesamt!"&amp;D$1&amp;$A41)),"",INDIRECT("Gesamt!"&amp;D$1&amp;$A41))</f>
        <v xml:space="preserve">Gruppe: </v>
      </c>
      <c r="E41" s="52" t="str" cm="1">
        <f t="array" aca="1" ref="E41" ca="1">IF(ISBLANK(INDIRECT("Gesamt!"&amp;E$1&amp;$A41)),"",INDIRECT("Gesamt!"&amp;E$1&amp;$A41))</f>
        <v/>
      </c>
    </row>
    <row r="42" spans="1:5" ht="17" x14ac:dyDescent="0.2">
      <c r="A42">
        <v>39</v>
      </c>
      <c r="B42" s="63" t="str" cm="1">
        <f t="array" aca="1" ref="B42" ca="1">IF(ISBLANK(INDIRECT("Gesamt!"&amp;B$1&amp;$A42)),"",INDIRECT("Gesamt!"&amp;B$1&amp;$A42))</f>
        <v>Exposé</v>
      </c>
      <c r="C42" s="71" cm="1">
        <f t="array" aca="1" ref="C42" ca="1">IF(ISBLANK(INDIRECT("Gesamt!"&amp;C$1&amp;$A42)),"",INDIRECT("Gesamt!"&amp;C$1&amp;$A42))</f>
        <v>2</v>
      </c>
      <c r="D42" s="71" cm="1">
        <f t="array" aca="1" ref="D42" ca="1">IF(ISBLANK(INDIRECT("Gesamt!"&amp;D$1&amp;$A42)),"",INDIRECT("Gesamt!"&amp;D$1&amp;$A42))</f>
        <v>0</v>
      </c>
      <c r="E42" s="48" t="str" cm="1">
        <f t="array" aca="1" ref="E42" ca="1">IF(ISBLANK(INDIRECT("Gesamt!"&amp;E$1&amp;$A42)),"",INDIRECT("Gesamt!"&amp;E$1&amp;$A42))</f>
        <v>(0,0 %)</v>
      </c>
    </row>
    <row r="43" spans="1:5" ht="17" x14ac:dyDescent="0.2">
      <c r="A43">
        <v>40</v>
      </c>
      <c r="B43" s="63" t="str" cm="1">
        <f t="array" aca="1" ref="B43" ca="1">IF(ISBLANK(INDIRECT("Gesamt!"&amp;B$1&amp;$A43)),"",INDIRECT("Gesamt!"&amp;B$1&amp;$A43))</f>
        <v>Zwischenabgabe</v>
      </c>
      <c r="C43" s="71" cm="1">
        <f t="array" aca="1" ref="C43" ca="1">IF(ISBLANK(INDIRECT("Gesamt!"&amp;C$1&amp;$A43)),"",INDIRECT("Gesamt!"&amp;C$1&amp;$A43))</f>
        <v>8</v>
      </c>
      <c r="D43" s="71" cm="1">
        <f t="array" aca="1" ref="D43" ca="1">IF(ISBLANK(INDIRECT("Gesamt!"&amp;D$1&amp;$A43)),"",INDIRECT("Gesamt!"&amp;D$1&amp;$A43))</f>
        <v>0</v>
      </c>
      <c r="E43" s="48" t="str" cm="1">
        <f t="array" aca="1" ref="E43" ca="1">IF(ISBLANK(INDIRECT("Gesamt!"&amp;E$1&amp;$A43)),"",INDIRECT("Gesamt!"&amp;E$1&amp;$A43))</f>
        <v>(0,0 %)</v>
      </c>
    </row>
    <row r="44" spans="1:5" ht="18" thickBot="1" x14ac:dyDescent="0.25">
      <c r="A44">
        <v>41</v>
      </c>
      <c r="B44" s="67" t="str" cm="1">
        <f t="array" aca="1" ref="B44" ca="1">IF(ISBLANK(INDIRECT("Gesamt!"&amp;B$1&amp;$A44)),"",INDIRECT("Gesamt!"&amp;B$1&amp;$A44))</f>
        <v>Endabgabe</v>
      </c>
      <c r="C44" s="72" cm="1">
        <f t="array" aca="1" ref="C44" ca="1">IF(ISBLANK(INDIRECT("Gesamt!"&amp;C$1&amp;$A44)),"",INDIRECT("Gesamt!"&amp;C$1&amp;$A44))</f>
        <v>15</v>
      </c>
      <c r="D44" s="72" cm="1">
        <f t="array" aca="1" ref="D44" ca="1">IF(ISBLANK(INDIRECT("Gesamt!"&amp;D$1&amp;$A44)),"",INDIRECT("Gesamt!"&amp;D$1&amp;$A44))</f>
        <v>0</v>
      </c>
      <c r="E44" s="59" t="str" cm="1">
        <f t="array" aca="1" ref="E44" ca="1">IF(ISBLANK(INDIRECT("Gesamt!"&amp;E$1&amp;$A44)),"",INDIRECT("Gesamt!"&amp;E$1&amp;$A44))</f>
        <v>(0,0 %)</v>
      </c>
    </row>
    <row r="45" spans="1:5" ht="18" thickTop="1" x14ac:dyDescent="0.2">
      <c r="A45">
        <v>42</v>
      </c>
      <c r="B45" s="64" t="str" cm="1">
        <f t="array" aca="1" ref="B45" ca="1">IF(ISBLANK(INDIRECT("Gesamt!"&amp;B$1&amp;$A45)),"",INDIRECT("Gesamt!"&amp;B$1&amp;$A45))</f>
        <v>Endpunktzahl (rechnerisch)</v>
      </c>
      <c r="C45" s="73" cm="1">
        <f t="array" aca="1" ref="C45" ca="1">IF(ISBLANK(INDIRECT("Gesamt!"&amp;C$1&amp;$A45)),"",INDIRECT("Gesamt!"&amp;C$1&amp;$A45))</f>
        <v>25</v>
      </c>
      <c r="D45" s="73" cm="1">
        <f t="array" aca="1" ref="D45" ca="1">IF(ISBLANK(INDIRECT("Gesamt!"&amp;D$1&amp;$A45)),"",INDIRECT("Gesamt!"&amp;D$1&amp;$A45))</f>
        <v>0</v>
      </c>
      <c r="E45" s="55" t="str" cm="1">
        <f t="array" aca="1" ref="E45" ca="1">IF(ISBLANK(INDIRECT("Gesamt!"&amp;E$1&amp;$A45)),"",INDIRECT("Gesamt!"&amp;E$1&amp;$A45))</f>
        <v>(0,0 %)</v>
      </c>
    </row>
    <row r="46" spans="1:5" ht="17" x14ac:dyDescent="0.2">
      <c r="A46">
        <v>43</v>
      </c>
      <c r="B46" s="64" t="str" cm="1">
        <f t="array" aca="1" ref="B46" ca="1">IF(ISBLANK(INDIRECT("Gesamt!"&amp;B$1&amp;$A46)),"",INDIRECT("Gesamt!"&amp;B$1&amp;$A46))</f>
        <v>Endergebnis (gerundet)</v>
      </c>
      <c r="C46" s="73" cm="1">
        <f t="array" aca="1" ref="C46" ca="1">IF(ISBLANK(INDIRECT("Gesamt!"&amp;C$1&amp;$A46)),"",INDIRECT("Gesamt!"&amp;C$1&amp;$A46))</f>
        <v>25</v>
      </c>
      <c r="D46" s="73" cm="1">
        <f t="array" aca="1" ref="D46" ca="1">IF(ISBLANK(INDIRECT("Gesamt!"&amp;D$1&amp;$A46)),"",INDIRECT("Gesamt!"&amp;D$1&amp;$A46))</f>
        <v>0</v>
      </c>
      <c r="E46" s="55" t="str" cm="1">
        <f t="array" aca="1" ref="E46" ca="1">IF(ISBLANK(INDIRECT("Gesamt!"&amp;E$1&amp;$A46)),"",INDIRECT("Gesamt!"&amp;E$1&amp;$A46))</f>
        <v>(0,0 %)</v>
      </c>
    </row>
    <row r="47" spans="1:5" ht="17" x14ac:dyDescent="0.2">
      <c r="A47">
        <v>44</v>
      </c>
      <c r="B47" s="68" t="str" cm="1">
        <f t="array" aca="1" ref="B47" ca="1">IF(ISBLANK(INDIRECT("Gesamt!"&amp;B$1&amp;$A47)),"",INDIRECT("Gesamt!"&amp;B$1&amp;$A47))</f>
        <v>Quantil (ECTS-Grad) [nur Korrektor]</v>
      </c>
      <c r="C47" s="74" t="str" cm="1">
        <f t="array" aca="1" ref="C47" ca="1">IF(ISBLANK(INDIRECT("Gesamt!"&amp;C$1&amp;$A47)),"",INDIRECT("Gesamt!"&amp;C$1&amp;$A47))</f>
        <v>0-1 (A-E)</v>
      </c>
      <c r="D47" s="74" t="e" cm="1">
        <f t="array" aca="1" ref="D47" ca="1">IF(ISBLANK(INDIRECT("Gesamt!"&amp;D$1&amp;$A47)),"",INDIRECT("Gesamt!"&amp;D$1&amp;$A47))</f>
        <v>#N/A</v>
      </c>
      <c r="E47" s="62" t="e" cm="1">
        <f t="array" aca="1" ref="E47" ca="1">IF(ISBLANK(INDIRECT("Gesamt!"&amp;E$1&amp;$A47)),"",INDIRECT("Gesamt!"&amp;E$1&amp;$A47))</f>
        <v>#N/A</v>
      </c>
    </row>
  </sheetData>
  <mergeCells count="2">
    <mergeCell ref="B2:E2"/>
    <mergeCell ref="B3:E3"/>
  </mergeCells>
  <conditionalFormatting sqref="E7">
    <cfRule type="expression" dxfId="11" priority="7">
      <formula>F7=FALSE</formula>
    </cfRule>
  </conditionalFormatting>
  <conditionalFormatting sqref="D7">
    <cfRule type="expression" dxfId="10" priority="1">
      <formula>F7=FALSE</formula>
    </cfRule>
  </conditionalFormatting>
  <conditionalFormatting sqref="E8">
    <cfRule type="expression" dxfId="9" priority="8">
      <formula>F8=FALSE</formula>
    </cfRule>
  </conditionalFormatting>
  <conditionalFormatting sqref="D8">
    <cfRule type="expression" dxfId="8" priority="2">
      <formula>F8=FALSE</formula>
    </cfRule>
  </conditionalFormatting>
  <conditionalFormatting sqref="D9">
    <cfRule type="expression" dxfId="7" priority="3">
      <formula>F9=FALSE</formula>
    </cfRule>
  </conditionalFormatting>
  <conditionalFormatting sqref="D10">
    <cfRule type="expression" dxfId="6" priority="4">
      <formula>F10=FALSE</formula>
    </cfRule>
  </conditionalFormatting>
  <conditionalFormatting sqref="D11">
    <cfRule type="expression" dxfId="5" priority="5">
      <formula>F11=FALSE</formula>
    </cfRule>
  </conditionalFormatting>
  <conditionalFormatting sqref="D12">
    <cfRule type="expression" dxfId="4" priority="6">
      <formula>F12=FALSE</formula>
    </cfRule>
  </conditionalFormatting>
  <conditionalFormatting sqref="E9">
    <cfRule type="expression" dxfId="3" priority="9">
      <formula>F9=FALSE</formula>
    </cfRule>
  </conditionalFormatting>
  <conditionalFormatting sqref="E10">
    <cfRule type="expression" dxfId="2" priority="10">
      <formula>F10=FALSE</formula>
    </cfRule>
  </conditionalFormatting>
  <conditionalFormatting sqref="E11">
    <cfRule type="expression" dxfId="1" priority="11">
      <formula>F11=FALSE</formula>
    </cfRule>
  </conditionalFormatting>
  <conditionalFormatting sqref="E12">
    <cfRule type="expression" dxfId="0" priority="12">
      <formula>F12=FALSE</formula>
    </cfRule>
  </conditionalFormatting>
  <pageMargins left="0.7" right="0.7" top="0.78740157499999996" bottom="0.78740157499999996" header="0.3" footer="0.3"/>
  <pageSetup paperSize="9" scale="60" fitToHeight="10" orientation="portrait" horizontalDpi="0" verticalDpi="0"/>
  <headerFooter>
    <oddHeader>&amp;L&amp;"Calibri Bold,Fett"&amp;K000000Statistik&amp;"Calibri,Standard"
Prof. Dr. Benjamin Buchwitz&amp;R&amp;"Calibri,Standard"&amp;K000000&amp;G</oddHeader>
    <oddFooter>Seite &amp;P von &amp;N</oddFooter>
  </headerFooter>
  <legacyDrawingHF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14</vt:i4>
      </vt:variant>
      <vt:variant>
        <vt:lpstr>Benannte Bereiche</vt:lpstr>
      </vt:variant>
      <vt:variant>
        <vt:i4>11</vt:i4>
      </vt:variant>
    </vt:vector>
  </HeadingPairs>
  <TitlesOfParts>
    <vt:vector size="25" baseType="lpstr">
      <vt:lpstr>Checkliste</vt:lpstr>
      <vt:lpstr>Ergebnis</vt:lpstr>
      <vt:lpstr>Gesamt</vt:lpstr>
      <vt:lpstr>Settings</vt:lpstr>
      <vt:lpstr>G1</vt:lpstr>
      <vt:lpstr>G2</vt:lpstr>
      <vt:lpstr>G3</vt:lpstr>
      <vt:lpstr>G4</vt:lpstr>
      <vt:lpstr>G5</vt:lpstr>
      <vt:lpstr>G6</vt:lpstr>
      <vt:lpstr>G7</vt:lpstr>
      <vt:lpstr>G8</vt:lpstr>
      <vt:lpstr>G9</vt:lpstr>
      <vt:lpstr>G10</vt:lpstr>
      <vt:lpstr>'G1'!Druckbereich</vt:lpstr>
      <vt:lpstr>'G10'!Druckbereich</vt:lpstr>
      <vt:lpstr>'G2'!Druckbereich</vt:lpstr>
      <vt:lpstr>'G3'!Druckbereich</vt:lpstr>
      <vt:lpstr>'G4'!Druckbereich</vt:lpstr>
      <vt:lpstr>'G5'!Druckbereich</vt:lpstr>
      <vt:lpstr>'G6'!Druckbereich</vt:lpstr>
      <vt:lpstr>'G7'!Druckbereich</vt:lpstr>
      <vt:lpstr>'G8'!Druckbereich</vt:lpstr>
      <vt:lpstr>'G9'!Druckbereich</vt:lpstr>
      <vt:lpstr>Endergebnis_gerundet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2021-08-10T16:10:08Z</cp:lastPrinted>
  <dcterms:created xsi:type="dcterms:W3CDTF">2021-05-11T07:02:53Z</dcterms:created>
  <dcterms:modified xsi:type="dcterms:W3CDTF">2021-08-10T17:32:15Z</dcterms:modified>
</cp:coreProperties>
</file>